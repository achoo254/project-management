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CONG VIEC\project-management\"/>
    </mc:Choice>
  </mc:AlternateContent>
  <xr:revisionPtr revIDLastSave="0" documentId="13_ncr:1_{8E5B030E-1751-4DFA-BE87-534D74B3BE3F}" xr6:coauthVersionLast="47" xr6:coauthVersionMax="47" xr10:uidLastSave="{00000000-0000-0000-0000-000000000000}"/>
  <bookViews>
    <workbookView xWindow="-108" yWindow="-108" windowWidth="23256" windowHeight="12576" activeTab="5" xr2:uid="{00000000-000D-0000-FFFF-FFFF00000000}"/>
  </bookViews>
  <sheets>
    <sheet name="Config_Role" sheetId="1" r:id="rId1"/>
    <sheet name="Config_Weight" sheetId="2" r:id="rId2"/>
    <sheet name="Tiêu chí" sheetId="3" r:id="rId3"/>
    <sheet name="P2_Input" sheetId="4" r:id="rId4"/>
    <sheet name="P2_Calc" sheetId="5" r:id="rId5"/>
    <sheet name="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6" l="1"/>
  <c r="C38" i="6"/>
  <c r="B38" i="6"/>
  <c r="D36" i="6"/>
  <c r="C36" i="6"/>
  <c r="C35" i="6"/>
  <c r="B35" i="6"/>
  <c r="D34" i="6"/>
  <c r="D32" i="6"/>
  <c r="C32" i="6"/>
  <c r="B31" i="6"/>
  <c r="D29" i="6"/>
  <c r="C29" i="6"/>
  <c r="B29" i="6"/>
  <c r="D28" i="6"/>
  <c r="B28" i="6"/>
  <c r="D27" i="6"/>
  <c r="C27" i="6"/>
  <c r="D26" i="6"/>
  <c r="C22" i="6"/>
  <c r="D20" i="6"/>
  <c r="C19" i="6"/>
  <c r="D18" i="6"/>
  <c r="B15" i="6"/>
  <c r="D13" i="6"/>
  <c r="D11" i="6"/>
  <c r="C11" i="6"/>
  <c r="Y31" i="5"/>
  <c r="W31" i="5"/>
  <c r="V31" i="5"/>
  <c r="K31" i="5"/>
  <c r="O31" i="5" s="1"/>
  <c r="J31" i="5"/>
  <c r="N31" i="5" s="1"/>
  <c r="I31" i="5"/>
  <c r="H31" i="5"/>
  <c r="G31" i="5"/>
  <c r="F31" i="5"/>
  <c r="E31" i="5"/>
  <c r="D31" i="5"/>
  <c r="L31" i="5" s="1"/>
  <c r="P31" i="5" s="1"/>
  <c r="C31" i="5"/>
  <c r="B31" i="5"/>
  <c r="A31" i="5"/>
  <c r="R31" i="5" s="1"/>
  <c r="H38" i="6" s="1"/>
  <c r="W30" i="5"/>
  <c r="V30" i="5"/>
  <c r="K30" i="5" s="1"/>
  <c r="G30" i="5"/>
  <c r="F30" i="5"/>
  <c r="E30" i="5"/>
  <c r="D30" i="5"/>
  <c r="C30" i="5"/>
  <c r="D37" i="6" s="1"/>
  <c r="B30" i="5"/>
  <c r="C37" i="6" s="1"/>
  <c r="A30" i="5"/>
  <c r="W29" i="5"/>
  <c r="V29" i="5"/>
  <c r="I29" i="5" s="1"/>
  <c r="R29" i="5"/>
  <c r="H36" i="6" s="1"/>
  <c r="M29" i="5"/>
  <c r="K29" i="5"/>
  <c r="J29" i="5"/>
  <c r="G29" i="5"/>
  <c r="F29" i="5"/>
  <c r="E29" i="5"/>
  <c r="D29" i="5"/>
  <c r="C29" i="5"/>
  <c r="B29" i="5"/>
  <c r="A29" i="5"/>
  <c r="Y28" i="5"/>
  <c r="W28" i="5"/>
  <c r="V28" i="5"/>
  <c r="G28" i="5"/>
  <c r="F28" i="5"/>
  <c r="E28" i="5"/>
  <c r="D28" i="5"/>
  <c r="C28" i="5"/>
  <c r="D35" i="6" s="1"/>
  <c r="B28" i="5"/>
  <c r="A28" i="5"/>
  <c r="R28" i="5" s="1"/>
  <c r="H35" i="6" s="1"/>
  <c r="Y27" i="5"/>
  <c r="W27" i="5"/>
  <c r="V27" i="5"/>
  <c r="K27" i="5" s="1"/>
  <c r="R27" i="5"/>
  <c r="H34" i="6" s="1"/>
  <c r="O27" i="5"/>
  <c r="N27" i="5"/>
  <c r="L27" i="5"/>
  <c r="J27" i="5"/>
  <c r="I27" i="5"/>
  <c r="M27" i="5" s="1"/>
  <c r="H27" i="5"/>
  <c r="G27" i="5"/>
  <c r="F27" i="5"/>
  <c r="E27" i="5"/>
  <c r="D27" i="5"/>
  <c r="C27" i="5"/>
  <c r="B27" i="5"/>
  <c r="C34" i="6" s="1"/>
  <c r="A27" i="5"/>
  <c r="W26" i="5"/>
  <c r="V26" i="5"/>
  <c r="R26" i="5"/>
  <c r="H33" i="6" s="1"/>
  <c r="Q26" i="5"/>
  <c r="G33" i="6" s="1"/>
  <c r="G26" i="5"/>
  <c r="F26" i="5"/>
  <c r="E26" i="5"/>
  <c r="D26" i="5"/>
  <c r="C26" i="5"/>
  <c r="D33" i="6" s="1"/>
  <c r="B26" i="5"/>
  <c r="C33" i="6" s="1"/>
  <c r="A26" i="5"/>
  <c r="W25" i="5"/>
  <c r="V25" i="5"/>
  <c r="I25" i="5" s="1"/>
  <c r="K25" i="5"/>
  <c r="J25" i="5"/>
  <c r="G25" i="5"/>
  <c r="F25" i="5"/>
  <c r="E25" i="5"/>
  <c r="D25" i="5"/>
  <c r="C25" i="5"/>
  <c r="B25" i="5"/>
  <c r="A25" i="5"/>
  <c r="Y24" i="5"/>
  <c r="W24" i="5"/>
  <c r="V24" i="5"/>
  <c r="R24" i="5"/>
  <c r="H31" i="6" s="1"/>
  <c r="K24" i="5"/>
  <c r="J24" i="5"/>
  <c r="N24" i="5" s="1"/>
  <c r="I24" i="5"/>
  <c r="H24" i="5"/>
  <c r="G24" i="5"/>
  <c r="O24" i="5" s="1"/>
  <c r="F24" i="5"/>
  <c r="E24" i="5"/>
  <c r="M24" i="5" s="1"/>
  <c r="D24" i="5"/>
  <c r="L24" i="5" s="1"/>
  <c r="P24" i="5" s="1"/>
  <c r="C24" i="5"/>
  <c r="D31" i="6" s="1"/>
  <c r="B24" i="5"/>
  <c r="C31" i="6" s="1"/>
  <c r="A24" i="5"/>
  <c r="W23" i="5"/>
  <c r="V23" i="5"/>
  <c r="G23" i="5"/>
  <c r="F23" i="5"/>
  <c r="E23" i="5"/>
  <c r="D23" i="5"/>
  <c r="C23" i="5"/>
  <c r="D30" i="6" s="1"/>
  <c r="B23" i="5"/>
  <c r="C30" i="6" s="1"/>
  <c r="A23" i="5"/>
  <c r="W22" i="5"/>
  <c r="Y22" i="5" s="1"/>
  <c r="V22" i="5"/>
  <c r="H22" i="5" s="1"/>
  <c r="L22" i="5"/>
  <c r="K22" i="5"/>
  <c r="J22" i="5"/>
  <c r="I22" i="5"/>
  <c r="M22" i="5" s="1"/>
  <c r="G22" i="5"/>
  <c r="O22" i="5" s="1"/>
  <c r="F22" i="5"/>
  <c r="N22" i="5" s="1"/>
  <c r="E22" i="5"/>
  <c r="D22" i="5"/>
  <c r="C22" i="5"/>
  <c r="B22" i="5"/>
  <c r="A22" i="5"/>
  <c r="W21" i="5"/>
  <c r="Y21" i="5" s="1"/>
  <c r="V21" i="5"/>
  <c r="R21" i="5"/>
  <c r="H28" i="6" s="1"/>
  <c r="H21" i="5"/>
  <c r="G21" i="5"/>
  <c r="F21" i="5"/>
  <c r="E21" i="5"/>
  <c r="D21" i="5"/>
  <c r="C21" i="5"/>
  <c r="B21" i="5"/>
  <c r="C28" i="6" s="1"/>
  <c r="A21" i="5"/>
  <c r="W20" i="5"/>
  <c r="V20" i="5"/>
  <c r="J20" i="5" s="1"/>
  <c r="O20" i="5"/>
  <c r="N20" i="5"/>
  <c r="K20" i="5"/>
  <c r="G20" i="5"/>
  <c r="F20" i="5"/>
  <c r="E20" i="5"/>
  <c r="D20" i="5"/>
  <c r="C20" i="5"/>
  <c r="B20" i="5"/>
  <c r="A20" i="5"/>
  <c r="Q20" i="5" s="1"/>
  <c r="W19" i="5"/>
  <c r="V19" i="5"/>
  <c r="K19" i="5" s="1"/>
  <c r="G19" i="5"/>
  <c r="F19" i="5"/>
  <c r="E19" i="5"/>
  <c r="D19" i="5"/>
  <c r="C19" i="5"/>
  <c r="B19" i="5"/>
  <c r="C26" i="6" s="1"/>
  <c r="A19" i="5"/>
  <c r="Y18" i="5"/>
  <c r="W18" i="5"/>
  <c r="V18" i="5"/>
  <c r="Q18" i="5"/>
  <c r="G25" i="6" s="1"/>
  <c r="N18" i="5"/>
  <c r="K18" i="5"/>
  <c r="O18" i="5" s="1"/>
  <c r="J18" i="5"/>
  <c r="I18" i="5"/>
  <c r="M18" i="5" s="1"/>
  <c r="H18" i="5"/>
  <c r="G18" i="5"/>
  <c r="F18" i="5"/>
  <c r="E18" i="5"/>
  <c r="D18" i="5"/>
  <c r="C18" i="5"/>
  <c r="D25" i="6" s="1"/>
  <c r="B18" i="5"/>
  <c r="C25" i="6" s="1"/>
  <c r="A18" i="5"/>
  <c r="W17" i="5"/>
  <c r="V17" i="5"/>
  <c r="J17" i="5" s="1"/>
  <c r="K17" i="5"/>
  <c r="G17" i="5"/>
  <c r="F17" i="5"/>
  <c r="E17" i="5"/>
  <c r="D17" i="5"/>
  <c r="C17" i="5"/>
  <c r="D24" i="6" s="1"/>
  <c r="B17" i="5"/>
  <c r="C24" i="6" s="1"/>
  <c r="A17" i="5"/>
  <c r="Y17" i="5" s="1"/>
  <c r="W16" i="5"/>
  <c r="V16" i="5"/>
  <c r="I16" i="5" s="1"/>
  <c r="R16" i="5"/>
  <c r="H23" i="6" s="1"/>
  <c r="K16" i="5"/>
  <c r="J16" i="5"/>
  <c r="G16" i="5"/>
  <c r="F16" i="5"/>
  <c r="E16" i="5"/>
  <c r="D16" i="5"/>
  <c r="C16" i="5"/>
  <c r="D23" i="6" s="1"/>
  <c r="B16" i="5"/>
  <c r="C23" i="6" s="1"/>
  <c r="A16" i="5"/>
  <c r="Y15" i="5"/>
  <c r="W15" i="5"/>
  <c r="V15" i="5"/>
  <c r="K15" i="5"/>
  <c r="O15" i="5" s="1"/>
  <c r="J15" i="5"/>
  <c r="I15" i="5"/>
  <c r="H15" i="5"/>
  <c r="G15" i="5"/>
  <c r="F15" i="5"/>
  <c r="N15" i="5" s="1"/>
  <c r="E15" i="5"/>
  <c r="M15" i="5" s="1"/>
  <c r="D15" i="5"/>
  <c r="L15" i="5" s="1"/>
  <c r="P15" i="5" s="1"/>
  <c r="C15" i="5"/>
  <c r="D22" i="6" s="1"/>
  <c r="B15" i="5"/>
  <c r="A15" i="5"/>
  <c r="B22" i="6" s="1"/>
  <c r="W14" i="5"/>
  <c r="V14" i="5"/>
  <c r="R14" i="5"/>
  <c r="H21" i="6" s="1"/>
  <c r="G14" i="5"/>
  <c r="F14" i="5"/>
  <c r="Q14" i="5" s="1"/>
  <c r="G21" i="6" s="1"/>
  <c r="E14" i="5"/>
  <c r="D14" i="5"/>
  <c r="C14" i="5"/>
  <c r="D21" i="6" s="1"/>
  <c r="B14" i="5"/>
  <c r="C21" i="6" s="1"/>
  <c r="A14" i="5"/>
  <c r="W13" i="5"/>
  <c r="V13" i="5"/>
  <c r="I13" i="5" s="1"/>
  <c r="R13" i="5"/>
  <c r="H20" i="6" s="1"/>
  <c r="M13" i="5"/>
  <c r="K13" i="5"/>
  <c r="J13" i="5"/>
  <c r="N13" i="5" s="1"/>
  <c r="G13" i="5"/>
  <c r="O13" i="5" s="1"/>
  <c r="F13" i="5"/>
  <c r="E13" i="5"/>
  <c r="D13" i="5"/>
  <c r="C13" i="5"/>
  <c r="B13" i="5"/>
  <c r="C20" i="6" s="1"/>
  <c r="A13" i="5"/>
  <c r="Y13" i="5" s="1"/>
  <c r="Y12" i="5"/>
  <c r="W12" i="5"/>
  <c r="V12" i="5"/>
  <c r="Q12" i="5"/>
  <c r="G19" i="6" s="1"/>
  <c r="G12" i="5"/>
  <c r="F12" i="5"/>
  <c r="E12" i="5"/>
  <c r="D12" i="5"/>
  <c r="C12" i="5"/>
  <c r="D19" i="6" s="1"/>
  <c r="B12" i="5"/>
  <c r="A12" i="5"/>
  <c r="W11" i="5"/>
  <c r="V11" i="5"/>
  <c r="K11" i="5"/>
  <c r="J11" i="5"/>
  <c r="I11" i="5"/>
  <c r="H11" i="5"/>
  <c r="G11" i="5"/>
  <c r="F11" i="5"/>
  <c r="E11" i="5"/>
  <c r="D11" i="5"/>
  <c r="C11" i="5"/>
  <c r="B11" i="5"/>
  <c r="C18" i="6" s="1"/>
  <c r="A11" i="5"/>
  <c r="Y10" i="5"/>
  <c r="W10" i="5"/>
  <c r="V10" i="5"/>
  <c r="R10" i="5"/>
  <c r="H17" i="6" s="1"/>
  <c r="K10" i="5"/>
  <c r="J10" i="5"/>
  <c r="I10" i="5"/>
  <c r="H10" i="5"/>
  <c r="G10" i="5"/>
  <c r="F10" i="5"/>
  <c r="Q10" i="5" s="1"/>
  <c r="G17" i="6" s="1"/>
  <c r="E10" i="5"/>
  <c r="D10" i="5"/>
  <c r="C10" i="5"/>
  <c r="D17" i="6" s="1"/>
  <c r="B10" i="5"/>
  <c r="C17" i="6" s="1"/>
  <c r="A10" i="5"/>
  <c r="W9" i="5"/>
  <c r="V9" i="5"/>
  <c r="H9" i="5" s="1"/>
  <c r="Q9" i="5"/>
  <c r="G16" i="6" s="1"/>
  <c r="K9" i="5"/>
  <c r="J9" i="5"/>
  <c r="I9" i="5"/>
  <c r="G9" i="5"/>
  <c r="F9" i="5"/>
  <c r="E9" i="5"/>
  <c r="D9" i="5"/>
  <c r="C9" i="5"/>
  <c r="D16" i="6" s="1"/>
  <c r="B9" i="5"/>
  <c r="C16" i="6" s="1"/>
  <c r="A9" i="5"/>
  <c r="Y8" i="5"/>
  <c r="W8" i="5"/>
  <c r="V8" i="5"/>
  <c r="R8" i="5"/>
  <c r="H15" i="6" s="1"/>
  <c r="K8" i="5"/>
  <c r="J8" i="5"/>
  <c r="I8" i="5"/>
  <c r="H8" i="5"/>
  <c r="G8" i="5"/>
  <c r="O8" i="5" s="1"/>
  <c r="F8" i="5"/>
  <c r="E8" i="5"/>
  <c r="M8" i="5" s="1"/>
  <c r="D8" i="5"/>
  <c r="L8" i="5" s="1"/>
  <c r="P8" i="5" s="1"/>
  <c r="C8" i="5"/>
  <c r="D15" i="6" s="1"/>
  <c r="B8" i="5"/>
  <c r="C15" i="6" s="1"/>
  <c r="A8" i="5"/>
  <c r="W7" i="5"/>
  <c r="V7" i="5"/>
  <c r="R7" i="5"/>
  <c r="H14" i="6" s="1"/>
  <c r="Q7" i="5"/>
  <c r="G14" i="6" s="1"/>
  <c r="K7" i="5"/>
  <c r="O7" i="5" s="1"/>
  <c r="G7" i="5"/>
  <c r="F7" i="5"/>
  <c r="E7" i="5"/>
  <c r="D7" i="5"/>
  <c r="C7" i="5"/>
  <c r="D14" i="6" s="1"/>
  <c r="B7" i="5"/>
  <c r="C14" i="6" s="1"/>
  <c r="A7" i="5"/>
  <c r="W6" i="5"/>
  <c r="Y6" i="5" s="1"/>
  <c r="V6" i="5"/>
  <c r="K6" i="5" s="1"/>
  <c r="O6" i="5" s="1"/>
  <c r="N6" i="5"/>
  <c r="J6" i="5"/>
  <c r="G6" i="5"/>
  <c r="F6" i="5"/>
  <c r="E6" i="5"/>
  <c r="D6" i="5"/>
  <c r="C6" i="5"/>
  <c r="B6" i="5"/>
  <c r="C13" i="6" s="1"/>
  <c r="A6" i="5"/>
  <c r="W5" i="5"/>
  <c r="V5" i="5"/>
  <c r="G5" i="5"/>
  <c r="F5" i="5"/>
  <c r="E5" i="5"/>
  <c r="D5" i="5"/>
  <c r="C5" i="5"/>
  <c r="D12" i="6" s="1"/>
  <c r="B5" i="5"/>
  <c r="C12" i="6" s="1"/>
  <c r="A5" i="5"/>
  <c r="W4" i="5"/>
  <c r="Y4" i="5" s="1"/>
  <c r="V4" i="5"/>
  <c r="I4" i="5" s="1"/>
  <c r="M4" i="5" s="1"/>
  <c r="L4" i="5"/>
  <c r="P4" i="5" s="1"/>
  <c r="K4" i="5"/>
  <c r="J4" i="5"/>
  <c r="H4" i="5"/>
  <c r="G4" i="5"/>
  <c r="O4" i="5" s="1"/>
  <c r="F4" i="5"/>
  <c r="E4" i="5"/>
  <c r="D4" i="5"/>
  <c r="C4" i="5"/>
  <c r="B4" i="5"/>
  <c r="A4" i="5"/>
  <c r="N4" i="5" s="1"/>
  <c r="W3" i="5"/>
  <c r="V3" i="5"/>
  <c r="K3" i="5" s="1"/>
  <c r="O3" i="5"/>
  <c r="J3" i="5"/>
  <c r="H3" i="5"/>
  <c r="G3" i="5"/>
  <c r="F3" i="5"/>
  <c r="E3" i="5"/>
  <c r="D3" i="5"/>
  <c r="C3" i="5"/>
  <c r="D10" i="6" s="1"/>
  <c r="B3" i="5"/>
  <c r="C10" i="6" s="1"/>
  <c r="A3" i="5"/>
  <c r="Y3" i="5" s="1"/>
  <c r="W2" i="5"/>
  <c r="V2" i="5"/>
  <c r="R2" i="5"/>
  <c r="H9" i="6" s="1"/>
  <c r="O2" i="5"/>
  <c r="K2" i="5"/>
  <c r="J2" i="5"/>
  <c r="I2" i="5"/>
  <c r="H2" i="5"/>
  <c r="G2" i="5"/>
  <c r="F2" i="5"/>
  <c r="E2" i="5"/>
  <c r="D2" i="5"/>
  <c r="C2" i="5"/>
  <c r="D9" i="6" s="1"/>
  <c r="B2" i="5"/>
  <c r="C9" i="6" s="1"/>
  <c r="A2" i="5"/>
  <c r="F5" i="2"/>
  <c r="F4" i="2"/>
  <c r="F3" i="2"/>
  <c r="F2" i="2"/>
  <c r="G27" i="6" l="1"/>
  <c r="J26" i="5"/>
  <c r="N26" i="5" s="1"/>
  <c r="I26" i="5"/>
  <c r="O30" i="5"/>
  <c r="Y30" i="5"/>
  <c r="B37" i="6"/>
  <c r="B26" i="6"/>
  <c r="M19" i="5"/>
  <c r="L19" i="5"/>
  <c r="B16" i="6"/>
  <c r="R9" i="5"/>
  <c r="H16" i="6" s="1"/>
  <c r="Q17" i="5"/>
  <c r="G24" i="6" s="1"/>
  <c r="M25" i="5"/>
  <c r="B32" i="6"/>
  <c r="Y25" i="5"/>
  <c r="R25" i="5"/>
  <c r="H32" i="6" s="1"/>
  <c r="N8" i="5"/>
  <c r="Y11" i="5"/>
  <c r="N16" i="5"/>
  <c r="Y16" i="5"/>
  <c r="X16" i="5"/>
  <c r="S16" i="5" s="1"/>
  <c r="E23" i="6" s="1"/>
  <c r="B23" i="6"/>
  <c r="R3" i="5"/>
  <c r="H10" i="6" s="1"/>
  <c r="R12" i="5"/>
  <c r="B19" i="6"/>
  <c r="K12" i="5"/>
  <c r="O12" i="5" s="1"/>
  <c r="J12" i="5"/>
  <c r="R17" i="5"/>
  <c r="H24" i="6" s="1"/>
  <c r="Y19" i="5"/>
  <c r="M26" i="5"/>
  <c r="Y26" i="5"/>
  <c r="B33" i="6"/>
  <c r="Y29" i="5"/>
  <c r="M31" i="5"/>
  <c r="R20" i="5"/>
  <c r="H27" i="6" s="1"/>
  <c r="B27" i="6"/>
  <c r="K28" i="5"/>
  <c r="O28" i="5" s="1"/>
  <c r="I28" i="5"/>
  <c r="J28" i="5"/>
  <c r="H28" i="5"/>
  <c r="J5" i="5"/>
  <c r="K5" i="5"/>
  <c r="O5" i="5" s="1"/>
  <c r="I5" i="5"/>
  <c r="M5" i="5" s="1"/>
  <c r="Q3" i="5"/>
  <c r="G10" i="6" s="1"/>
  <c r="Y2" i="5"/>
  <c r="H19" i="5"/>
  <c r="Y20" i="5"/>
  <c r="K21" i="5"/>
  <c r="O21" i="5" s="1"/>
  <c r="J21" i="5"/>
  <c r="N21" i="5" s="1"/>
  <c r="I21" i="5"/>
  <c r="Q23" i="5"/>
  <c r="G30" i="6" s="1"/>
  <c r="O10" i="5"/>
  <c r="N10" i="5"/>
  <c r="M10" i="5"/>
  <c r="L10" i="5"/>
  <c r="P10" i="5" s="1"/>
  <c r="X10" i="5" s="1"/>
  <c r="S10" i="5" s="1"/>
  <c r="B17" i="6"/>
  <c r="L11" i="5"/>
  <c r="P11" i="5" s="1"/>
  <c r="I19" i="5"/>
  <c r="Q21" i="5"/>
  <c r="R23" i="5"/>
  <c r="H30" i="6" s="1"/>
  <c r="N29" i="5"/>
  <c r="B12" i="6"/>
  <c r="L5" i="5"/>
  <c r="Y5" i="5"/>
  <c r="N5" i="5"/>
  <c r="M11" i="5"/>
  <c r="J19" i="5"/>
  <c r="N19" i="5" s="1"/>
  <c r="O29" i="5"/>
  <c r="Q30" i="5"/>
  <c r="G37" i="6" s="1"/>
  <c r="B24" i="6"/>
  <c r="O17" i="5"/>
  <c r="N17" i="5"/>
  <c r="B14" i="6"/>
  <c r="X7" i="5"/>
  <c r="S7" i="5" s="1"/>
  <c r="Y7" i="5"/>
  <c r="N11" i="5"/>
  <c r="H12" i="5"/>
  <c r="L12" i="5" s="1"/>
  <c r="P12" i="5" s="1"/>
  <c r="X12" i="5" s="1"/>
  <c r="S12" i="5" s="1"/>
  <c r="L18" i="5"/>
  <c r="P18" i="5" s="1"/>
  <c r="B25" i="6"/>
  <c r="R18" i="5"/>
  <c r="H25" i="6" s="1"/>
  <c r="O19" i="5"/>
  <c r="X22" i="5"/>
  <c r="H26" i="5"/>
  <c r="L26" i="5" s="1"/>
  <c r="P26" i="5" s="1"/>
  <c r="X26" i="5" s="1"/>
  <c r="S26" i="5" s="1"/>
  <c r="N28" i="5"/>
  <c r="R30" i="5"/>
  <c r="H37" i="6" s="1"/>
  <c r="B10" i="6"/>
  <c r="N3" i="5"/>
  <c r="L3" i="5"/>
  <c r="H5" i="5"/>
  <c r="Y9" i="5"/>
  <c r="L2" i="5"/>
  <c r="P2" i="5" s="1"/>
  <c r="M2" i="5"/>
  <c r="R4" i="5"/>
  <c r="H11" i="6" s="1"/>
  <c r="B11" i="6"/>
  <c r="Q4" i="5"/>
  <c r="G11" i="6" s="1"/>
  <c r="P5" i="5"/>
  <c r="H6" i="5"/>
  <c r="L6" i="5" s="1"/>
  <c r="P6" i="5" s="1"/>
  <c r="J7" i="5"/>
  <c r="N7" i="5" s="1"/>
  <c r="H7" i="5"/>
  <c r="L7" i="5" s="1"/>
  <c r="P7" i="5" s="1"/>
  <c r="I7" i="5"/>
  <c r="M7" i="5" s="1"/>
  <c r="O11" i="5"/>
  <c r="I12" i="5"/>
  <c r="M12" i="5" s="1"/>
  <c r="Y14" i="5"/>
  <c r="B21" i="6"/>
  <c r="K14" i="5"/>
  <c r="O14" i="5" s="1"/>
  <c r="J14" i="5"/>
  <c r="N14" i="5" s="1"/>
  <c r="I14" i="5"/>
  <c r="M14" i="5" s="1"/>
  <c r="H14" i="5"/>
  <c r="L14" i="5" s="1"/>
  <c r="P14" i="5" s="1"/>
  <c r="X14" i="5" s="1"/>
  <c r="S14" i="5" s="1"/>
  <c r="L16" i="5"/>
  <c r="P19" i="5"/>
  <c r="H20" i="5"/>
  <c r="L20" i="5" s="1"/>
  <c r="P20" i="5" s="1"/>
  <c r="X20" i="5" s="1"/>
  <c r="S20" i="5" s="1"/>
  <c r="K26" i="5"/>
  <c r="O26" i="5" s="1"/>
  <c r="N2" i="5"/>
  <c r="Q5" i="5"/>
  <c r="G12" i="6" s="1"/>
  <c r="I6" i="5"/>
  <c r="M6" i="5" s="1"/>
  <c r="L9" i="5"/>
  <c r="P9" i="5" s="1"/>
  <c r="X9" i="5" s="1"/>
  <c r="S9" i="5" s="1"/>
  <c r="N12" i="5"/>
  <c r="M16" i="5"/>
  <c r="Q19" i="5"/>
  <c r="G26" i="6" s="1"/>
  <c r="I20" i="5"/>
  <c r="M21" i="5"/>
  <c r="O23" i="5"/>
  <c r="B30" i="6"/>
  <c r="Y23" i="5"/>
  <c r="K23" i="5"/>
  <c r="J23" i="5"/>
  <c r="N23" i="5" s="1"/>
  <c r="I23" i="5"/>
  <c r="M23" i="5" s="1"/>
  <c r="H23" i="5"/>
  <c r="L23" i="5" s="1"/>
  <c r="P23" i="5" s="1"/>
  <c r="N25" i="5"/>
  <c r="O25" i="5"/>
  <c r="R5" i="5"/>
  <c r="H12" i="6" s="1"/>
  <c r="Q8" i="5"/>
  <c r="M9" i="5"/>
  <c r="B18" i="6"/>
  <c r="Q11" i="5"/>
  <c r="O16" i="5"/>
  <c r="H17" i="5"/>
  <c r="L17" i="5" s="1"/>
  <c r="P17" i="5" s="1"/>
  <c r="X17" i="5" s="1"/>
  <c r="S17" i="5" s="1"/>
  <c r="R19" i="5"/>
  <c r="H26" i="6" s="1"/>
  <c r="I3" i="5"/>
  <c r="M3" i="5" s="1"/>
  <c r="N9" i="5"/>
  <c r="R11" i="5"/>
  <c r="H18" i="6" s="1"/>
  <c r="H13" i="5"/>
  <c r="L13" i="5" s="1"/>
  <c r="P13" i="5" s="1"/>
  <c r="P16" i="5"/>
  <c r="I17" i="5"/>
  <c r="M17" i="5" s="1"/>
  <c r="X18" i="5"/>
  <c r="S18" i="5" s="1"/>
  <c r="Q24" i="5"/>
  <c r="B9" i="6"/>
  <c r="Q2" i="5"/>
  <c r="G9" i="6" s="1"/>
  <c r="O9" i="5"/>
  <c r="Q16" i="5"/>
  <c r="G23" i="6" s="1"/>
  <c r="M20" i="5"/>
  <c r="Q25" i="5"/>
  <c r="G32" i="6" s="1"/>
  <c r="B13" i="6"/>
  <c r="P27" i="5"/>
  <c r="Q27" i="5"/>
  <c r="G34" i="6" s="1"/>
  <c r="Q13" i="5"/>
  <c r="P22" i="5"/>
  <c r="Q29" i="5"/>
  <c r="G36" i="6" s="1"/>
  <c r="H30" i="5"/>
  <c r="L30" i="5" s="1"/>
  <c r="P30" i="5" s="1"/>
  <c r="I30" i="5"/>
  <c r="M30" i="5" s="1"/>
  <c r="R6" i="5"/>
  <c r="L28" i="5"/>
  <c r="P28" i="5" s="1"/>
  <c r="J30" i="5"/>
  <c r="N30" i="5" s="1"/>
  <c r="Q31" i="5"/>
  <c r="Q6" i="5"/>
  <c r="Q22" i="5"/>
  <c r="G29" i="6" s="1"/>
  <c r="Q15" i="5"/>
  <c r="H16" i="5"/>
  <c r="R22" i="5"/>
  <c r="R15" i="5"/>
  <c r="L21" i="5"/>
  <c r="P21" i="5" s="1"/>
  <c r="S22" i="5"/>
  <c r="H25" i="5"/>
  <c r="L25" i="5" s="1"/>
  <c r="P25" i="5" s="1"/>
  <c r="M28" i="5"/>
  <c r="B20" i="6"/>
  <c r="B34" i="6"/>
  <c r="B36" i="6"/>
  <c r="Q28" i="5"/>
  <c r="H29" i="5"/>
  <c r="L29" i="5" s="1"/>
  <c r="P29" i="5" s="1"/>
  <c r="X29" i="5" s="1"/>
  <c r="S29" i="5" s="1"/>
  <c r="E19" i="6" l="1"/>
  <c r="T12" i="5"/>
  <c r="E21" i="6"/>
  <c r="T14" i="5"/>
  <c r="U14" i="5" s="1"/>
  <c r="F21" i="6" s="1"/>
  <c r="E24" i="6"/>
  <c r="T17" i="5"/>
  <c r="E17" i="6"/>
  <c r="T10" i="5"/>
  <c r="U10" i="5" s="1"/>
  <c r="F17" i="6" s="1"/>
  <c r="E14" i="6"/>
  <c r="T7" i="5"/>
  <c r="U7" i="5" s="1"/>
  <c r="F14" i="6" s="1"/>
  <c r="E16" i="6"/>
  <c r="T9" i="5"/>
  <c r="E27" i="6"/>
  <c r="T20" i="5"/>
  <c r="U20" i="5" s="1"/>
  <c r="F27" i="6" s="1"/>
  <c r="E33" i="6"/>
  <c r="T26" i="5"/>
  <c r="U26" i="5" s="1"/>
  <c r="F33" i="6" s="1"/>
  <c r="E36" i="6"/>
  <c r="T29" i="5"/>
  <c r="U29" i="5" s="1"/>
  <c r="F36" i="6" s="1"/>
  <c r="E25" i="6"/>
  <c r="T18" i="5"/>
  <c r="U18" i="5" s="1"/>
  <c r="F25" i="6" s="1"/>
  <c r="X2" i="5"/>
  <c r="S2" i="5" s="1"/>
  <c r="X4" i="5"/>
  <c r="S4" i="5" s="1"/>
  <c r="X27" i="5"/>
  <c r="S27" i="5" s="1"/>
  <c r="X25" i="5"/>
  <c r="S25" i="5" s="1"/>
  <c r="T22" i="5"/>
  <c r="U22" i="5" s="1"/>
  <c r="F29" i="6" s="1"/>
  <c r="E29" i="6"/>
  <c r="G28" i="6"/>
  <c r="X21" i="5"/>
  <c r="S21" i="5" s="1"/>
  <c r="X30" i="5"/>
  <c r="S30" i="5" s="1"/>
  <c r="H19" i="6"/>
  <c r="U12" i="5"/>
  <c r="F19" i="6" s="1"/>
  <c r="U17" i="5"/>
  <c r="F24" i="6" s="1"/>
  <c r="H13" i="6"/>
  <c r="G15" i="6"/>
  <c r="X8" i="5"/>
  <c r="S8" i="5" s="1"/>
  <c r="G20" i="6"/>
  <c r="X13" i="5"/>
  <c r="S13" i="5" s="1"/>
  <c r="X5" i="5"/>
  <c r="S5" i="5" s="1"/>
  <c r="T16" i="5"/>
  <c r="U16" i="5" s="1"/>
  <c r="F23" i="6" s="1"/>
  <c r="G13" i="6"/>
  <c r="X6" i="5"/>
  <c r="S6" i="5" s="1"/>
  <c r="H22" i="6"/>
  <c r="G31" i="6"/>
  <c r="X24" i="5"/>
  <c r="S24" i="5" s="1"/>
  <c r="G38" i="6"/>
  <c r="X31" i="5"/>
  <c r="S31" i="5" s="1"/>
  <c r="G18" i="6"/>
  <c r="X11" i="5"/>
  <c r="S11" i="5" s="1"/>
  <c r="X23" i="5"/>
  <c r="S23" i="5" s="1"/>
  <c r="P3" i="5"/>
  <c r="X3" i="5" s="1"/>
  <c r="S3" i="5" s="1"/>
  <c r="X19" i="5"/>
  <c r="S19" i="5" s="1"/>
  <c r="U9" i="5"/>
  <c r="F16" i="6" s="1"/>
  <c r="H29" i="6"/>
  <c r="G22" i="6"/>
  <c r="X15" i="5"/>
  <c r="S15" i="5" s="1"/>
  <c r="G35" i="6"/>
  <c r="X28" i="5"/>
  <c r="S28" i="5" s="1"/>
  <c r="E10" i="6" l="1"/>
  <c r="T3" i="5"/>
  <c r="U3" i="5" s="1"/>
  <c r="F10" i="6" s="1"/>
  <c r="E13" i="6"/>
  <c r="T6" i="5"/>
  <c r="U6" i="5" s="1"/>
  <c r="F13" i="6" s="1"/>
  <c r="E26" i="6"/>
  <c r="T19" i="5"/>
  <c r="U19" i="5" s="1"/>
  <c r="F26" i="6" s="1"/>
  <c r="E37" i="6"/>
  <c r="T30" i="5"/>
  <c r="U30" i="5" s="1"/>
  <c r="F37" i="6" s="1"/>
  <c r="E18" i="6"/>
  <c r="T11" i="5"/>
  <c r="U11" i="5" s="1"/>
  <c r="F18" i="6" s="1"/>
  <c r="E20" i="6"/>
  <c r="T13" i="5"/>
  <c r="U13" i="5" s="1"/>
  <c r="F20" i="6" s="1"/>
  <c r="E28" i="6"/>
  <c r="T21" i="5"/>
  <c r="U21" i="5" s="1"/>
  <c r="F28" i="6" s="1"/>
  <c r="E9" i="6"/>
  <c r="T2" i="5"/>
  <c r="U2" i="5" s="1"/>
  <c r="F9" i="6" s="1"/>
  <c r="E38" i="6"/>
  <c r="T31" i="5"/>
  <c r="U31" i="5" s="1"/>
  <c r="F38" i="6" s="1"/>
  <c r="E15" i="6"/>
  <c r="T8" i="5"/>
  <c r="U8" i="5" s="1"/>
  <c r="F15" i="6" s="1"/>
  <c r="E31" i="6"/>
  <c r="T24" i="5"/>
  <c r="U24" i="5" s="1"/>
  <c r="F31" i="6" s="1"/>
  <c r="E35" i="6"/>
  <c r="T28" i="5"/>
  <c r="U28" i="5" s="1"/>
  <c r="F35" i="6" s="1"/>
  <c r="E12" i="6"/>
  <c r="T5" i="5"/>
  <c r="U5" i="5" s="1"/>
  <c r="F12" i="6" s="1"/>
  <c r="E32" i="6"/>
  <c r="T25" i="5"/>
  <c r="U25" i="5" s="1"/>
  <c r="F32" i="6" s="1"/>
  <c r="E34" i="6"/>
  <c r="T27" i="5"/>
  <c r="U27" i="5" s="1"/>
  <c r="F34" i="6" s="1"/>
  <c r="E30" i="6"/>
  <c r="A30" i="6" s="1"/>
  <c r="T23" i="5"/>
  <c r="U23" i="5" s="1"/>
  <c r="F30" i="6" s="1"/>
  <c r="E22" i="6"/>
  <c r="T15" i="5"/>
  <c r="U15" i="5" s="1"/>
  <c r="F22" i="6" s="1"/>
  <c r="E11" i="6"/>
  <c r="T4" i="5"/>
  <c r="U4" i="5" s="1"/>
  <c r="F11" i="6" s="1"/>
  <c r="A34" i="6" l="1"/>
  <c r="A20" i="6"/>
  <c r="A18" i="6"/>
  <c r="A19" i="6"/>
  <c r="A36" i="6"/>
  <c r="A9" i="6"/>
  <c r="A16" i="6"/>
  <c r="A17" i="6"/>
  <c r="A14" i="6"/>
  <c r="A21" i="6"/>
  <c r="A23" i="6"/>
  <c r="A25" i="6"/>
  <c r="A33" i="6"/>
  <c r="A24" i="6"/>
  <c r="A28" i="6"/>
  <c r="A35" i="6"/>
  <c r="A37" i="6"/>
  <c r="A32" i="6"/>
  <c r="A12" i="6"/>
  <c r="A31" i="6"/>
  <c r="A29" i="6"/>
  <c r="A26" i="6"/>
  <c r="A15" i="6"/>
  <c r="A13" i="6"/>
  <c r="A11" i="6"/>
  <c r="A22" i="6"/>
  <c r="A38" i="6"/>
  <c r="A10" i="6"/>
  <c r="A27" i="6"/>
</calcChain>
</file>

<file path=xl/sharedStrings.xml><?xml version="1.0" encoding="utf-8"?>
<sst xmlns="http://schemas.openxmlformats.org/spreadsheetml/2006/main" count="340" uniqueCount="156">
  <si>
    <t>Role_Code</t>
  </si>
  <si>
    <t>Role_Name</t>
  </si>
  <si>
    <t>BE</t>
  </si>
  <si>
    <t>Backend Engineer</t>
  </si>
  <si>
    <t>FE</t>
  </si>
  <si>
    <t>Frontend Engineer</t>
  </si>
  <si>
    <t>DE</t>
  </si>
  <si>
    <t>Designer</t>
  </si>
  <si>
    <t>FS</t>
  </si>
  <si>
    <t>Fullstack Engineer</t>
  </si>
  <si>
    <t>Core_Skill_%</t>
  </si>
  <si>
    <t>Delivery_%</t>
  </si>
  <si>
    <t>DevOps_%</t>
  </si>
  <si>
    <t>AI_Agent_%</t>
  </si>
  <si>
    <t>Total_%</t>
  </si>
  <si>
    <t>Category</t>
  </si>
  <si>
    <t>Level</t>
  </si>
  <si>
    <t>Description</t>
  </si>
  <si>
    <t>Core_Skill</t>
  </si>
  <si>
    <t>Cần hướng dẫn để triển khai API endpoints cơ bản; lỗi thường xuyên; hiểu hạn chế về data flow.</t>
  </si>
  <si>
    <t>Delivery</t>
  </si>
  <si>
    <t>Hay trễ cam kết; cập nhật không rõ; công việc cần đôn đốc mới xong.</t>
  </si>
  <si>
    <t>DevOps</t>
  </si>
  <si>
    <t>Không chạy/build/deploy được nếu không có hỗ trợ; ít ý thức về tác động logs/ops.</t>
  </si>
  <si>
    <t>AI_Agent</t>
  </si>
  <si>
    <t>Ít dùng AI hoặc dùng không an toàn; output không review; gây regression.</t>
  </si>
  <si>
    <t>Triển khai API đơn giản với hướng dẫn; hiểu DB queries cơ bản; sửa bug đơn giản.</t>
  </si>
  <si>
    <t>Giao việc nhỏ nhưng cần hỗ trợ lên kế hoạch/tách task; cập nhật status khi được hỏi.</t>
  </si>
  <si>
    <t>Chạy local &amp; làm theo bước deploy với hướng dẫn; logging tối thiểu.</t>
  </si>
  <si>
    <t>Dùng AI cho đoạn code nhỏ với hướng dẫn; review output; workflow không ổn định.</t>
  </si>
  <si>
    <t>Tự triển khai tính năng (API + DB); code dễ đọc; tests cơ bản; xử lý edge cases.</t>
  </si>
  <si>
    <t>Bàn giao ổn định; tách công việc thành tickets; chịu trách nhiệm bug đến khi đóng; báo risk sớm.</t>
  </si>
  <si>
    <t>Dùng CI/CD; hiểu env/secrets; logging/error tracking; tham gia oncall/bugfix.</t>
  </si>
  <si>
    <t>Dùng AI Agent cho scaffolding/refactor/tests/debug; prompt hygiene; review cẩn thận.</t>
  </si>
  <si>
    <t>Thiết kế kiến trúc/module gọn; cải thiện performance/security; tests chắc; nâng chất lượng qua review.</t>
  </si>
  <si>
    <t>Quản lý scope/risk chủ động; phối hợp cross-function; giảm rework nhờ specs/docs tốt hơn.</t>
  </si>
  <si>
    <t>Cải thiện CI/CD (cache, gates); thêm metrics/alerts; rollback; cải thiện reliability &amp; MTTR.</t>
  </si>
  <si>
    <t>Prompt/workflow tái sử dụng; AI cho review &amp; debugging; đo impact (cycle time/defects).</t>
  </si>
  <si>
    <t>Định hướng backend; ngăn lỗi hệ thống; mentoring team; dẫn dắt refactor/migrations lớn an toàn.</t>
  </si>
  <si>
    <t>Cải thiện hệ thống bàn giao team (DoD, review checklist); gỡ block cross-team; thúc đẩy tính dự báo.</t>
  </si>
  <si>
    <t>Chuẩn hóa release/observability; playbooks; dẫn postmortem; mentoring thực hành ops.</t>
  </si>
  <si>
    <t>Dẫn dắt thực hành AI engineering; đào tạo team; tự động hóa công việc lặp an toàn có governance.</t>
  </si>
  <si>
    <t>Cần hướng dẫn cho UI cơ bản; khó với state/routing; lỗi UI thường xuyên.</t>
  </si>
  <si>
    <t>Hay trễ cam kết; tiến độ không rõ; task UI bỏ dở.</t>
  </si>
  <si>
    <t>Không build/run ổn định; bỏ qua warnings; deploy cần hỗ trợ.</t>
  </si>
  <si>
    <t>Tránh AI hoặc dùng không review; gây UI regression.</t>
  </si>
  <si>
    <t>Xây components đơn giản với hướng dẫn; theo patterns; sửa lỗi UI đơn giản.</t>
  </si>
  <si>
    <t>Giao task UI nhỏ; cần hỗ trợ scoping; cập nhật status khi được hỏi.</t>
  </si>
  <si>
    <t>Run/build với hướng dẫn; hiểu env vars; làm theo CI; error tracking tối thiểu.</t>
  </si>
  <si>
    <t>AI cho đoạn code nhỏ với hướng dẫn; review output; prompt không ổn định.</t>
  </si>
  <si>
    <t>Tự triển khai tính năng (UI + state + tích hợp API); xử lý edge cases; code dễ bảo trì.</t>
  </si>
  <si>
    <t>Bàn giao ổn định; chịu trách nhiệm bug; phối hợp BE/Designer; báo risk sớm.</t>
  </si>
  <si>
    <t>Dùng CI thành thạo; quản lý env/config; giám sát client errors; giữ build gọn.</t>
  </si>
  <si>
    <t>AI Agent để scaffold/refactor/tests/debug; prompt hygiene; review cẩn thận.</t>
  </si>
  <si>
    <t>Cải thiện performance (bundle/render), accessibility; components tái sử dụng; kiến trúc/tests mạnh hơn.</t>
  </si>
  <si>
    <t>Quản lý đánh đổi UX; giảm rework; nâng chất lượng qua specs, demos, tài liệu.</t>
  </si>
  <si>
    <t>Tối ưu CI (cache/gates); cải thiện build speed &amp; bundle size; rollback; reliability.</t>
  </si>
  <si>
    <t>Template prompt tái sử dụng (component/a11y/test); AI cho review/refactor; đo lường kết quả.</t>
  </si>
  <si>
    <t>Định hướng FE; dẫn refactor/design system; mentoring team; ngăn lỗi UI hệ thống.</t>
  </si>
  <si>
    <t>Nâng chuẩn bàn giao (component standards, review checklist); gỡ block cross-team; tính dự báo.</t>
  </si>
  <si>
    <t>Chuẩn hóa release/observability FE; playbooks; mentoring team; giảm client error/MTTR.</t>
  </si>
  <si>
    <t>Dẫn dắt thực hành FE hỗ trợ AI; đào tạo team; tự động hóa task UI lặp an toàn.</t>
  </si>
  <si>
    <t>Cần hướng dẫn cho bố cục cơ bản; lý do UX yếu; handoff thiếu chi tiết quan trọng.</t>
  </si>
  <si>
    <t>Trễ deadline; ưu tiên không rõ; specs thiếu gây rework.</t>
  </si>
  <si>
    <t>Không rõ workflow dev; handoff phá ràng buộc; không dùng được môi trường preview.</t>
  </si>
  <si>
    <t>Ít dùng AI hoặc thiếu validation; output không nhất quán với brand/system.</t>
  </si>
  <si>
    <t>Thiết kế dùng được với hướng dẫn; theo styles; cải thiện khi có feedback.</t>
  </si>
  <si>
    <t>Task nhỏ với hướng dẫn; cần hỗ trợ scoping; cập nhật khi được hỏi.</t>
  </si>
  <si>
    <t>Nhận thức pipeline cơ bản với hướng dẫn; dùng công cụ handoff; assets ổn.</t>
  </si>
  <si>
    <t>AI cho copy/ý tưởng với hướng dẫn; validate; khả năng lặp lại hạn chế.</t>
  </si>
  <si>
    <t>Tự giao UX flows &amp; UI specs; hình ảnh nhất quán; handoff rõ (states, spacing, tokens).</t>
  </si>
  <si>
    <t>Bàn giao ổn định; scope rõ; lặp kịp thời; align ràng buộc với BE/FE sớm.</t>
  </si>
  <si>
    <t>Làm việc với preview/staging; dùng tokens/components; specs phù hợp build constraints.</t>
  </si>
  <si>
    <t>AI cho wireframes, UX copy, variants; prompt hygiene; validate với system constraints.</t>
  </si>
  <si>
    <t>Cải thiện khả năng sử dụng qua research/heuristics; mở rộng design system; giảm rework với specs tốt hơn.</t>
  </si>
  <si>
    <t>Quản lý đánh đổi; chuẩn bị variants; ghi chú quyết định; giảm rework qua review.</t>
  </si>
  <si>
    <t>Thúc đẩy áp dụng tokens/components; cải thiện handoff automation; giảm lỗi tích hợp &amp; rework.</t>
  </si>
  <si>
    <t>Thư viện prompt tái sử dụng; đẩy nhanh research synthesis; đo impact lên cycle time/rework.</t>
  </si>
  <si>
    <t>Định hướng design; tác động UX đo được; governance design system; mentoring cross-team.</t>
  </si>
  <si>
    <t>Nâng chuẩn bàn giao design (DoD, review checklist); gỡ block cross-team; tính dự báo.</t>
  </si>
  <si>
    <t>Dẫn chuẩn hóa workflow design-to-dev với FE; playbooks và best practices.</t>
  </si>
  <si>
    <t>Dẫn dắt thực hành design AI; đào tạo team; tự động hóa công việc lặp an toàn; governance.</t>
  </si>
  <si>
    <t>Cần hướng dẫn xuyên stack; chỉ thay đổi nhỏ; khó tích hợp API và UI ổn định.</t>
  </si>
  <si>
    <t>Bàn giao không ổn định; giao tiếp kém; tính năng dở dang xuyên stack.</t>
  </si>
  <si>
    <t>Không run/build/deploy được nếu không hỗ trợ; ý thức ops thấp; bỏ qua tác động logs/alerts.</t>
  </si>
  <si>
    <t>Tránh AI hoặc dùng không an toàn; thiếu review; gây regression.</t>
  </si>
  <si>
    <t>Tính năng end-to-end đơn giản với hướng dẫn; độ sâu BE hoặc FE không đều.</t>
  </si>
  <si>
    <t>Task nhỏ; cần hỗ trợ lên kế hoạch; cập nhật khi được hỏi.</t>
  </si>
  <si>
    <t>Build/run với hướng dẫn; làm theo CI; logging tối thiểu; env/secrets cơ bản.</t>
  </si>
  <si>
    <t>AI cho task nhỏ với hướng dẫn; review; workflow không ổn định.</t>
  </si>
  <si>
    <t>Tự triển khai end-to-end (API+DB+UI); giữ chất lượng; tests cơ bản; xử lý edge cases.</t>
  </si>
  <si>
    <t>Chịu trách nhiệm tính năng end-to-end; ổn định; báo risk sớm; sửa đến khi xong.</t>
  </si>
  <si>
    <t>Dùng CI/CD; env/secrets; logging/error tracking; deploy an toàn; tham gia oncall.</t>
  </si>
  <si>
    <t>AI Agent xuyên stack cho scaffolding/refactor/tests/debug; prompt hygiene; review cẩn thận.</t>
  </si>
  <si>
    <t>Ranh giới BE/FE rõ; cải thiện perf/security; refactor an toàn; tests mạnh.</t>
  </si>
  <si>
    <t>Quản lý scope/risk; đàm phán đánh đổi; giảm rework; cải thiện docs/handoff.</t>
  </si>
  <si>
    <t>Cải thiện CI/CD, metrics/alerts, rollback; reliability xuyên stack.</t>
  </si>
  <si>
    <t>Prompt/workflow tái sử dụng; AI cho debugging/review; đo impact.</t>
  </si>
  <si>
    <t>Định hướng end-to-end; ngăn lỗi hệ thống; mentoring team; dẫn refactor/migrations lớn.</t>
  </si>
  <si>
    <t>Cải thiện tính dự báo; định nghĩa chuẩn (DoD, review checklist); gỡ block cross-team.</t>
  </si>
  <si>
    <t>Chuẩn hóa release/observability; playbooks; giảm MTTR; mentoring thực hành ops.</t>
  </si>
  <si>
    <t>Dẫn AI engineering; đào tạo team; tự động hóa công việc end-to-end an toàn có governance.</t>
  </si>
  <si>
    <t>Emp_ID</t>
  </si>
  <si>
    <t>Name</t>
  </si>
  <si>
    <t>Core (1-5)</t>
  </si>
  <si>
    <t>Delivery (1-5)</t>
  </si>
  <si>
    <t>DevOps (1-5)</t>
  </si>
  <si>
    <t>AI Agent (1-5)</t>
  </si>
  <si>
    <t>Has_Incident</t>
  </si>
  <si>
    <t>Miss_Delivery</t>
  </si>
  <si>
    <t>Bằng chứng (link/file)</t>
  </si>
  <si>
    <t>Note</t>
  </si>
  <si>
    <t>Primary_Role</t>
  </si>
  <si>
    <t>Secondary_Role</t>
  </si>
  <si>
    <t>Secondary_Core (1-5)</t>
  </si>
  <si>
    <t>Secondary_Delivery (1-5)</t>
  </si>
  <si>
    <t>E001</t>
  </si>
  <si>
    <t>Nguyen Van A</t>
  </si>
  <si>
    <t>No</t>
  </si>
  <si>
    <t>https://example.com/mr/123</t>
  </si>
  <si>
    <t>Ví dụ</t>
  </si>
  <si>
    <t>E002</t>
  </si>
  <si>
    <t>Tran Thi B</t>
  </si>
  <si>
    <t>https://example.com/figma/xyz</t>
  </si>
  <si>
    <t>Core</t>
  </si>
  <si>
    <t>AI</t>
  </si>
  <si>
    <t>Core_W%</t>
  </si>
  <si>
    <t>Delivery_W%</t>
  </si>
  <si>
    <t>DevOps_W%</t>
  </si>
  <si>
    <t>AI_W%</t>
  </si>
  <si>
    <t>Core_P</t>
  </si>
  <si>
    <t>Delivery_P</t>
  </si>
  <si>
    <t>DevOps_P</t>
  </si>
  <si>
    <t>AI_P</t>
  </si>
  <si>
    <t>P2_Total</t>
  </si>
  <si>
    <t>CAP_3.2</t>
  </si>
  <si>
    <t>DOWN_1_LEVEL</t>
  </si>
  <si>
    <t>P2_Final</t>
  </si>
  <si>
    <t>Level_Pre</t>
  </si>
  <si>
    <t>Level_Final</t>
  </si>
  <si>
    <t>P2_Primary</t>
  </si>
  <si>
    <t>P2_Secondary</t>
  </si>
  <si>
    <t>P2 Summary (BP Công Nghệ)</t>
  </si>
  <si>
    <t>Xếp loại</t>
  </si>
  <si>
    <t>Ngưỡng</t>
  </si>
  <si>
    <t>A</t>
  </si>
  <si>
    <t>&gt; 3.8</t>
  </si>
  <si>
    <t>B</t>
  </si>
  <si>
    <t>3.3 – 3.8</t>
  </si>
  <si>
    <t>C</t>
  </si>
  <si>
    <t>2.5 – 3.2</t>
  </si>
  <si>
    <t>D</t>
  </si>
  <si>
    <t>&lt; 2.5</t>
  </si>
  <si>
    <t>Rank</t>
  </si>
  <si>
    <t>Role</t>
  </si>
  <si>
    <t>Ghi chú: CAP_3.2 = DevOps hoặc AI &lt; 3 (bắt buộc). DOWN_1_LEVEL = có sự cố hoặc bỏ sót bàn giao.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</si>
</sst>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rgb="FF0000FF"/>
      <name val="Calibri"/>
    </font>
    <font>
      <b/>
      <sz val="14"/>
      <color rgb="FFFFFFFF"/>
      <name val="Calibri"/>
    </font>
    <font>
      <b/>
      <sz val="11"/>
      <name val="Calibri"/>
    </font>
    <font>
      <sz val="11"/>
      <color rgb="FF000000"/>
      <name val="Calibri"/>
    </font>
    <font>
      <i/>
      <sz val="11"/>
      <color rgb="FF404040"/>
      <name val="Calibri"/>
    </font>
  </fonts>
  <fills count="4">
    <fill>
      <patternFill patternType="none"/>
    </fill>
    <fill>
      <patternFill patternType="gray125"/>
    </fill>
    <fill>
      <patternFill patternType="solid">
        <fgColor rgb="FF1F4E79"/>
      </patternFill>
    </fill>
    <fill>
      <patternFill patternType="solid">
        <fgColor rgb="FFD9E1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2" fontId="0" fillId="0" borderId="1" xfId="0" applyNumberFormat="1" applyBorder="1" applyAlignment="1">
      <alignment horizontal="center"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1"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xf>
    <xf numFmtId="0" fontId="0" fillId="0" borderId="2" xfId="0" applyBorder="1"/>
    <xf numFmtId="0" fontId="6" fillId="0" borderId="0" xfId="0" applyFont="1" applyAlignment="1">
      <alignment horizontal="left" vertical="center" wrapText="1"/>
    </xf>
    <xf numFmtId="0" fontId="0" fillId="0" borderId="0" xfId="0"/>
    <xf numFmtId="0" fontId="3" fillId="2" borderId="0" xfId="0" applyFont="1" applyFill="1" applyAlignment="1">
      <alignment horizontal="left" vertical="center"/>
    </xf>
    <xf numFmtId="0" fontId="1" fillId="2" borderId="3" xfId="0" applyFont="1" applyFill="1" applyBorder="1" applyAlignment="1">
      <alignment horizontal="center" vertical="center" wrapText="1"/>
    </xf>
  </cellXfs>
  <cellStyles count="1">
    <cellStyle name="Normal" xfId="0" builtinId="0"/>
  </cellStyles>
  <dxfs count="7">
    <dxf>
      <fill>
        <patternFill patternType="solid">
          <fgColor rgb="FFF4B084"/>
        </patternFill>
      </fill>
    </dxf>
    <dxf>
      <fill>
        <patternFill patternType="solid">
          <fgColor rgb="FFFFE699"/>
        </patternFill>
      </fill>
    </dxf>
    <dxf>
      <fill>
        <patternFill patternType="solid">
          <fgColor rgb="FFF4B084"/>
        </patternFill>
      </fill>
    </dxf>
    <dxf>
      <fill>
        <patternFill patternType="solid">
          <fgColor rgb="FFFFE699"/>
        </patternFill>
      </fill>
    </dxf>
    <dxf>
      <fill>
        <patternFill patternType="solid">
          <fgColor rgb="FFFFF2CC"/>
        </patternFill>
      </fill>
    </dxf>
    <dxf>
      <fill>
        <patternFill patternType="solid">
          <fgColor rgb="FFF8CBAD"/>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showGridLines="0" workbookViewId="0">
      <pane ySplit="1" topLeftCell="A2" activePane="bottomLeft" state="frozen"/>
      <selection pane="bottomLeft"/>
    </sheetView>
  </sheetViews>
  <sheetFormatPr defaultRowHeight="14.4" x14ac:dyDescent="0.3"/>
  <cols>
    <col min="1" max="1" width="12" customWidth="1"/>
    <col min="2" max="2" width="24" customWidth="1"/>
  </cols>
  <sheetData>
    <row r="1" spans="1:2" ht="22.05" customHeight="1"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showGridLines="0" workbookViewId="0">
      <pane ySplit="1" topLeftCell="A2" activePane="bottomLeft" state="frozen"/>
      <selection pane="bottomLeft" activeCell="B10" sqref="B10"/>
    </sheetView>
  </sheetViews>
  <sheetFormatPr defaultRowHeight="14.4" x14ac:dyDescent="0.3"/>
  <cols>
    <col min="1" max="1" width="12" customWidth="1"/>
    <col min="2" max="2" width="14" customWidth="1"/>
    <col min="3" max="5" width="12" customWidth="1"/>
    <col min="6" max="6" width="10" customWidth="1"/>
  </cols>
  <sheetData>
    <row r="1" spans="1:6" ht="22.05" customHeight="1" x14ac:dyDescent="0.3">
      <c r="A1" s="17" t="s">
        <v>0</v>
      </c>
      <c r="B1" s="17" t="s">
        <v>10</v>
      </c>
      <c r="C1" s="17" t="s">
        <v>11</v>
      </c>
      <c r="D1" s="17" t="s">
        <v>12</v>
      </c>
      <c r="E1" s="17" t="s">
        <v>13</v>
      </c>
      <c r="F1" s="17" t="s">
        <v>14</v>
      </c>
    </row>
    <row r="2" spans="1:6" x14ac:dyDescent="0.3">
      <c r="A2" s="10" t="s">
        <v>2</v>
      </c>
      <c r="B2" s="10">
        <v>35</v>
      </c>
      <c r="C2" s="10">
        <v>25</v>
      </c>
      <c r="D2" s="10">
        <v>20</v>
      </c>
      <c r="E2" s="10">
        <v>20</v>
      </c>
      <c r="F2" s="10">
        <f>SUM(B2:E2)</f>
        <v>100</v>
      </c>
    </row>
    <row r="3" spans="1:6" x14ac:dyDescent="0.3">
      <c r="A3" s="10" t="s">
        <v>4</v>
      </c>
      <c r="B3" s="10">
        <v>30</v>
      </c>
      <c r="C3" s="10">
        <v>25</v>
      </c>
      <c r="D3" s="10">
        <v>20</v>
      </c>
      <c r="E3" s="10">
        <v>25</v>
      </c>
      <c r="F3" s="10">
        <f>SUM(B3:E3)</f>
        <v>100</v>
      </c>
    </row>
    <row r="4" spans="1:6" x14ac:dyDescent="0.3">
      <c r="A4" s="10" t="s">
        <v>6</v>
      </c>
      <c r="B4" s="10">
        <v>40</v>
      </c>
      <c r="C4" s="10">
        <v>25</v>
      </c>
      <c r="D4" s="10">
        <v>15</v>
      </c>
      <c r="E4" s="10">
        <v>20</v>
      </c>
      <c r="F4" s="10">
        <f>SUM(B4:E4)</f>
        <v>100</v>
      </c>
    </row>
    <row r="5" spans="1:6" x14ac:dyDescent="0.3">
      <c r="A5" s="12" t="s">
        <v>8</v>
      </c>
      <c r="B5" s="12">
        <v>32</v>
      </c>
      <c r="C5" s="12">
        <v>25</v>
      </c>
      <c r="D5" s="12">
        <v>20</v>
      </c>
      <c r="E5" s="12">
        <v>23</v>
      </c>
      <c r="F5" s="12">
        <f>SUM(B5:E5)</f>
        <v>100</v>
      </c>
    </row>
  </sheetData>
  <conditionalFormatting sqref="F2:F4">
    <cfRule type="expression" dxfId="6" priority="1">
      <formula>F2&lt;&gt;100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1"/>
  <sheetViews>
    <sheetView showGridLines="0" workbookViewId="0">
      <pane ySplit="1" topLeftCell="A62" activePane="bottomLeft" state="frozen"/>
      <selection pane="bottomLeft" activeCell="D44" sqref="D44"/>
    </sheetView>
  </sheetViews>
  <sheetFormatPr defaultRowHeight="14.4" x14ac:dyDescent="0.3"/>
  <cols>
    <col min="1" max="1" width="12" customWidth="1"/>
    <col min="2" max="2" width="18" customWidth="1"/>
    <col min="3" max="3" width="8" customWidth="1"/>
    <col min="4" max="4" width="90.6640625" bestFit="1" customWidth="1"/>
  </cols>
  <sheetData>
    <row r="1" spans="1:4" ht="22.05" customHeight="1" x14ac:dyDescent="0.3">
      <c r="A1" s="9" t="s">
        <v>0</v>
      </c>
      <c r="B1" s="9" t="s">
        <v>15</v>
      </c>
      <c r="C1" s="9" t="s">
        <v>16</v>
      </c>
      <c r="D1" s="9" t="s">
        <v>17</v>
      </c>
    </row>
    <row r="2" spans="1:4" x14ac:dyDescent="0.3">
      <c r="A2" s="10" t="s">
        <v>2</v>
      </c>
      <c r="B2" s="11" t="s">
        <v>18</v>
      </c>
      <c r="C2" s="10">
        <v>1</v>
      </c>
      <c r="D2" s="11" t="s">
        <v>19</v>
      </c>
    </row>
    <row r="3" spans="1:4" x14ac:dyDescent="0.3">
      <c r="A3" s="10" t="s">
        <v>2</v>
      </c>
      <c r="B3" s="11" t="s">
        <v>20</v>
      </c>
      <c r="C3" s="10">
        <v>1</v>
      </c>
      <c r="D3" s="11" t="s">
        <v>21</v>
      </c>
    </row>
    <row r="4" spans="1:4" x14ac:dyDescent="0.3">
      <c r="A4" s="10" t="s">
        <v>2</v>
      </c>
      <c r="B4" s="11" t="s">
        <v>22</v>
      </c>
      <c r="C4" s="10">
        <v>1</v>
      </c>
      <c r="D4" s="11" t="s">
        <v>23</v>
      </c>
    </row>
    <row r="5" spans="1:4" x14ac:dyDescent="0.3">
      <c r="A5" s="10" t="s">
        <v>2</v>
      </c>
      <c r="B5" s="11" t="s">
        <v>24</v>
      </c>
      <c r="C5" s="10">
        <v>1</v>
      </c>
      <c r="D5" s="11" t="s">
        <v>25</v>
      </c>
    </row>
    <row r="6" spans="1:4" x14ac:dyDescent="0.3">
      <c r="A6" s="10" t="s">
        <v>2</v>
      </c>
      <c r="B6" s="11" t="s">
        <v>18</v>
      </c>
      <c r="C6" s="10">
        <v>2</v>
      </c>
      <c r="D6" s="11" t="s">
        <v>26</v>
      </c>
    </row>
    <row r="7" spans="1:4" x14ac:dyDescent="0.3">
      <c r="A7" s="10" t="s">
        <v>2</v>
      </c>
      <c r="B7" s="11" t="s">
        <v>20</v>
      </c>
      <c r="C7" s="10">
        <v>2</v>
      </c>
      <c r="D7" s="11" t="s">
        <v>27</v>
      </c>
    </row>
    <row r="8" spans="1:4" x14ac:dyDescent="0.3">
      <c r="A8" s="10" t="s">
        <v>2</v>
      </c>
      <c r="B8" s="11" t="s">
        <v>22</v>
      </c>
      <c r="C8" s="10">
        <v>2</v>
      </c>
      <c r="D8" s="11" t="s">
        <v>28</v>
      </c>
    </row>
    <row r="9" spans="1:4" x14ac:dyDescent="0.3">
      <c r="A9" s="12" t="s">
        <v>2</v>
      </c>
      <c r="B9" s="13" t="s">
        <v>24</v>
      </c>
      <c r="C9" s="12">
        <v>2</v>
      </c>
      <c r="D9" s="13" t="s">
        <v>29</v>
      </c>
    </row>
    <row r="10" spans="1:4" x14ac:dyDescent="0.3">
      <c r="A10" s="12" t="s">
        <v>2</v>
      </c>
      <c r="B10" s="13" t="s">
        <v>18</v>
      </c>
      <c r="C10" s="12">
        <v>3</v>
      </c>
      <c r="D10" s="13" t="s">
        <v>30</v>
      </c>
    </row>
    <row r="11" spans="1:4" x14ac:dyDescent="0.3">
      <c r="A11" s="12" t="s">
        <v>2</v>
      </c>
      <c r="B11" s="13" t="s">
        <v>20</v>
      </c>
      <c r="C11" s="12">
        <v>3</v>
      </c>
      <c r="D11" s="13" t="s">
        <v>31</v>
      </c>
    </row>
    <row r="12" spans="1:4" x14ac:dyDescent="0.3">
      <c r="A12" s="12" t="s">
        <v>2</v>
      </c>
      <c r="B12" s="13" t="s">
        <v>22</v>
      </c>
      <c r="C12" s="12">
        <v>3</v>
      </c>
      <c r="D12" s="13" t="s">
        <v>32</v>
      </c>
    </row>
    <row r="13" spans="1:4" x14ac:dyDescent="0.3">
      <c r="A13" s="12" t="s">
        <v>2</v>
      </c>
      <c r="B13" s="13" t="s">
        <v>24</v>
      </c>
      <c r="C13" s="12">
        <v>3</v>
      </c>
      <c r="D13" s="13" t="s">
        <v>33</v>
      </c>
    </row>
    <row r="14" spans="1:4" x14ac:dyDescent="0.3">
      <c r="A14" s="12" t="s">
        <v>2</v>
      </c>
      <c r="B14" s="13" t="s">
        <v>18</v>
      </c>
      <c r="C14" s="12">
        <v>4</v>
      </c>
      <c r="D14" s="13" t="s">
        <v>34</v>
      </c>
    </row>
    <row r="15" spans="1:4" x14ac:dyDescent="0.3">
      <c r="A15" s="12" t="s">
        <v>2</v>
      </c>
      <c r="B15" s="13" t="s">
        <v>20</v>
      </c>
      <c r="C15" s="12">
        <v>4</v>
      </c>
      <c r="D15" s="13" t="s">
        <v>35</v>
      </c>
    </row>
    <row r="16" spans="1:4" x14ac:dyDescent="0.3">
      <c r="A16" s="12" t="s">
        <v>2</v>
      </c>
      <c r="B16" s="13" t="s">
        <v>22</v>
      </c>
      <c r="C16" s="12">
        <v>4</v>
      </c>
      <c r="D16" s="13" t="s">
        <v>36</v>
      </c>
    </row>
    <row r="17" spans="1:4" x14ac:dyDescent="0.3">
      <c r="A17" s="12" t="s">
        <v>2</v>
      </c>
      <c r="B17" s="13" t="s">
        <v>24</v>
      </c>
      <c r="C17" s="12">
        <v>4</v>
      </c>
      <c r="D17" s="13" t="s">
        <v>37</v>
      </c>
    </row>
    <row r="18" spans="1:4" x14ac:dyDescent="0.3">
      <c r="A18" s="12" t="s">
        <v>2</v>
      </c>
      <c r="B18" s="13" t="s">
        <v>18</v>
      </c>
      <c r="C18" s="12">
        <v>5</v>
      </c>
      <c r="D18" s="13" t="s">
        <v>38</v>
      </c>
    </row>
    <row r="19" spans="1:4" x14ac:dyDescent="0.3">
      <c r="A19" s="12" t="s">
        <v>2</v>
      </c>
      <c r="B19" s="13" t="s">
        <v>20</v>
      </c>
      <c r="C19" s="12">
        <v>5</v>
      </c>
      <c r="D19" s="13" t="s">
        <v>39</v>
      </c>
    </row>
    <row r="20" spans="1:4" x14ac:dyDescent="0.3">
      <c r="A20" s="12" t="s">
        <v>2</v>
      </c>
      <c r="B20" s="13" t="s">
        <v>22</v>
      </c>
      <c r="C20" s="12">
        <v>5</v>
      </c>
      <c r="D20" s="13" t="s">
        <v>40</v>
      </c>
    </row>
    <row r="21" spans="1:4" x14ac:dyDescent="0.3">
      <c r="A21" s="12" t="s">
        <v>2</v>
      </c>
      <c r="B21" s="13" t="s">
        <v>24</v>
      </c>
      <c r="C21" s="12">
        <v>5</v>
      </c>
      <c r="D21" s="13" t="s">
        <v>41</v>
      </c>
    </row>
    <row r="22" spans="1:4" x14ac:dyDescent="0.3">
      <c r="A22" s="12" t="s">
        <v>4</v>
      </c>
      <c r="B22" s="13" t="s">
        <v>18</v>
      </c>
      <c r="C22" s="12">
        <v>1</v>
      </c>
      <c r="D22" s="13" t="s">
        <v>42</v>
      </c>
    </row>
    <row r="23" spans="1:4" x14ac:dyDescent="0.3">
      <c r="A23" s="12" t="s">
        <v>4</v>
      </c>
      <c r="B23" s="13" t="s">
        <v>20</v>
      </c>
      <c r="C23" s="12">
        <v>1</v>
      </c>
      <c r="D23" s="13" t="s">
        <v>43</v>
      </c>
    </row>
    <row r="24" spans="1:4" x14ac:dyDescent="0.3">
      <c r="A24" s="12" t="s">
        <v>4</v>
      </c>
      <c r="B24" s="13" t="s">
        <v>22</v>
      </c>
      <c r="C24" s="12">
        <v>1</v>
      </c>
      <c r="D24" s="13" t="s">
        <v>44</v>
      </c>
    </row>
    <row r="25" spans="1:4" x14ac:dyDescent="0.3">
      <c r="A25" s="12" t="s">
        <v>4</v>
      </c>
      <c r="B25" s="13" t="s">
        <v>24</v>
      </c>
      <c r="C25" s="12">
        <v>1</v>
      </c>
      <c r="D25" s="13" t="s">
        <v>45</v>
      </c>
    </row>
    <row r="26" spans="1:4" x14ac:dyDescent="0.3">
      <c r="A26" s="12" t="s">
        <v>4</v>
      </c>
      <c r="B26" s="13" t="s">
        <v>18</v>
      </c>
      <c r="C26" s="12">
        <v>2</v>
      </c>
      <c r="D26" s="13" t="s">
        <v>46</v>
      </c>
    </row>
    <row r="27" spans="1:4" x14ac:dyDescent="0.3">
      <c r="A27" s="12" t="s">
        <v>4</v>
      </c>
      <c r="B27" s="13" t="s">
        <v>20</v>
      </c>
      <c r="C27" s="12">
        <v>2</v>
      </c>
      <c r="D27" s="13" t="s">
        <v>47</v>
      </c>
    </row>
    <row r="28" spans="1:4" x14ac:dyDescent="0.3">
      <c r="A28" s="12" t="s">
        <v>4</v>
      </c>
      <c r="B28" s="13" t="s">
        <v>22</v>
      </c>
      <c r="C28" s="12">
        <v>2</v>
      </c>
      <c r="D28" s="13" t="s">
        <v>48</v>
      </c>
    </row>
    <row r="29" spans="1:4" x14ac:dyDescent="0.3">
      <c r="A29" s="12" t="s">
        <v>4</v>
      </c>
      <c r="B29" s="13" t="s">
        <v>24</v>
      </c>
      <c r="C29" s="12">
        <v>2</v>
      </c>
      <c r="D29" s="13" t="s">
        <v>49</v>
      </c>
    </row>
    <row r="30" spans="1:4" x14ac:dyDescent="0.3">
      <c r="A30" s="12" t="s">
        <v>4</v>
      </c>
      <c r="B30" s="13" t="s">
        <v>18</v>
      </c>
      <c r="C30" s="12">
        <v>3</v>
      </c>
      <c r="D30" s="13" t="s">
        <v>50</v>
      </c>
    </row>
    <row r="31" spans="1:4" x14ac:dyDescent="0.3">
      <c r="A31" s="12" t="s">
        <v>4</v>
      </c>
      <c r="B31" s="13" t="s">
        <v>20</v>
      </c>
      <c r="C31" s="12">
        <v>3</v>
      </c>
      <c r="D31" s="13" t="s">
        <v>51</v>
      </c>
    </row>
    <row r="32" spans="1:4" x14ac:dyDescent="0.3">
      <c r="A32" s="12" t="s">
        <v>4</v>
      </c>
      <c r="B32" s="13" t="s">
        <v>22</v>
      </c>
      <c r="C32" s="12">
        <v>3</v>
      </c>
      <c r="D32" s="13" t="s">
        <v>52</v>
      </c>
    </row>
    <row r="33" spans="1:4" x14ac:dyDescent="0.3">
      <c r="A33" s="12" t="s">
        <v>4</v>
      </c>
      <c r="B33" s="13" t="s">
        <v>24</v>
      </c>
      <c r="C33" s="12">
        <v>3</v>
      </c>
      <c r="D33" s="13" t="s">
        <v>53</v>
      </c>
    </row>
    <row r="34" spans="1:4" x14ac:dyDescent="0.3">
      <c r="A34" s="12" t="s">
        <v>4</v>
      </c>
      <c r="B34" s="13" t="s">
        <v>18</v>
      </c>
      <c r="C34" s="12">
        <v>4</v>
      </c>
      <c r="D34" s="13" t="s">
        <v>54</v>
      </c>
    </row>
    <row r="35" spans="1:4" x14ac:dyDescent="0.3">
      <c r="A35" s="12" t="s">
        <v>4</v>
      </c>
      <c r="B35" s="13" t="s">
        <v>20</v>
      </c>
      <c r="C35" s="12">
        <v>4</v>
      </c>
      <c r="D35" s="13" t="s">
        <v>55</v>
      </c>
    </row>
    <row r="36" spans="1:4" x14ac:dyDescent="0.3">
      <c r="A36" s="12" t="s">
        <v>4</v>
      </c>
      <c r="B36" s="13" t="s">
        <v>22</v>
      </c>
      <c r="C36" s="12">
        <v>4</v>
      </c>
      <c r="D36" s="13" t="s">
        <v>56</v>
      </c>
    </row>
    <row r="37" spans="1:4" x14ac:dyDescent="0.3">
      <c r="A37" s="12" t="s">
        <v>4</v>
      </c>
      <c r="B37" s="13" t="s">
        <v>24</v>
      </c>
      <c r="C37" s="12">
        <v>4</v>
      </c>
      <c r="D37" s="13" t="s">
        <v>57</v>
      </c>
    </row>
    <row r="38" spans="1:4" x14ac:dyDescent="0.3">
      <c r="A38" s="12" t="s">
        <v>4</v>
      </c>
      <c r="B38" s="13" t="s">
        <v>18</v>
      </c>
      <c r="C38" s="12">
        <v>5</v>
      </c>
      <c r="D38" s="13" t="s">
        <v>58</v>
      </c>
    </row>
    <row r="39" spans="1:4" x14ac:dyDescent="0.3">
      <c r="A39" s="12" t="s">
        <v>4</v>
      </c>
      <c r="B39" s="13" t="s">
        <v>20</v>
      </c>
      <c r="C39" s="12">
        <v>5</v>
      </c>
      <c r="D39" s="13" t="s">
        <v>59</v>
      </c>
    </row>
    <row r="40" spans="1:4" x14ac:dyDescent="0.3">
      <c r="A40" s="12" t="s">
        <v>4</v>
      </c>
      <c r="B40" s="13" t="s">
        <v>22</v>
      </c>
      <c r="C40" s="12">
        <v>5</v>
      </c>
      <c r="D40" s="13" t="s">
        <v>60</v>
      </c>
    </row>
    <row r="41" spans="1:4" x14ac:dyDescent="0.3">
      <c r="A41" s="12" t="s">
        <v>4</v>
      </c>
      <c r="B41" s="13" t="s">
        <v>24</v>
      </c>
      <c r="C41" s="12">
        <v>5</v>
      </c>
      <c r="D41" s="13" t="s">
        <v>61</v>
      </c>
    </row>
    <row r="42" spans="1:4" x14ac:dyDescent="0.3">
      <c r="A42" s="12" t="s">
        <v>6</v>
      </c>
      <c r="B42" s="13" t="s">
        <v>18</v>
      </c>
      <c r="C42" s="12">
        <v>1</v>
      </c>
      <c r="D42" s="13" t="s">
        <v>62</v>
      </c>
    </row>
    <row r="43" spans="1:4" x14ac:dyDescent="0.3">
      <c r="A43" s="12" t="s">
        <v>6</v>
      </c>
      <c r="B43" s="13" t="s">
        <v>20</v>
      </c>
      <c r="C43" s="12">
        <v>1</v>
      </c>
      <c r="D43" s="13" t="s">
        <v>63</v>
      </c>
    </row>
    <row r="44" spans="1:4" x14ac:dyDescent="0.3">
      <c r="A44" s="12" t="s">
        <v>6</v>
      </c>
      <c r="B44" s="13" t="s">
        <v>22</v>
      </c>
      <c r="C44" s="12">
        <v>1</v>
      </c>
      <c r="D44" s="13" t="s">
        <v>64</v>
      </c>
    </row>
    <row r="45" spans="1:4" x14ac:dyDescent="0.3">
      <c r="A45" s="12" t="s">
        <v>6</v>
      </c>
      <c r="B45" s="13" t="s">
        <v>24</v>
      </c>
      <c r="C45" s="12">
        <v>1</v>
      </c>
      <c r="D45" s="13" t="s">
        <v>65</v>
      </c>
    </row>
    <row r="46" spans="1:4" x14ac:dyDescent="0.3">
      <c r="A46" s="12" t="s">
        <v>6</v>
      </c>
      <c r="B46" s="13" t="s">
        <v>18</v>
      </c>
      <c r="C46" s="12">
        <v>2</v>
      </c>
      <c r="D46" s="13" t="s">
        <v>66</v>
      </c>
    </row>
    <row r="47" spans="1:4" x14ac:dyDescent="0.3">
      <c r="A47" s="12" t="s">
        <v>6</v>
      </c>
      <c r="B47" s="13" t="s">
        <v>20</v>
      </c>
      <c r="C47" s="12">
        <v>2</v>
      </c>
      <c r="D47" s="13" t="s">
        <v>67</v>
      </c>
    </row>
    <row r="48" spans="1:4" x14ac:dyDescent="0.3">
      <c r="A48" s="12" t="s">
        <v>6</v>
      </c>
      <c r="B48" s="13" t="s">
        <v>22</v>
      </c>
      <c r="C48" s="12">
        <v>2</v>
      </c>
      <c r="D48" s="13" t="s">
        <v>68</v>
      </c>
    </row>
    <row r="49" spans="1:4" x14ac:dyDescent="0.3">
      <c r="A49" s="12" t="s">
        <v>6</v>
      </c>
      <c r="B49" s="13" t="s">
        <v>24</v>
      </c>
      <c r="C49" s="12">
        <v>2</v>
      </c>
      <c r="D49" s="13" t="s">
        <v>69</v>
      </c>
    </row>
    <row r="50" spans="1:4" x14ac:dyDescent="0.3">
      <c r="A50" s="12" t="s">
        <v>6</v>
      </c>
      <c r="B50" s="13" t="s">
        <v>18</v>
      </c>
      <c r="C50" s="12">
        <v>3</v>
      </c>
      <c r="D50" s="13" t="s">
        <v>70</v>
      </c>
    </row>
    <row r="51" spans="1:4" x14ac:dyDescent="0.3">
      <c r="A51" s="12" t="s">
        <v>6</v>
      </c>
      <c r="B51" s="13" t="s">
        <v>20</v>
      </c>
      <c r="C51" s="12">
        <v>3</v>
      </c>
      <c r="D51" s="13" t="s">
        <v>71</v>
      </c>
    </row>
    <row r="52" spans="1:4" x14ac:dyDescent="0.3">
      <c r="A52" s="12" t="s">
        <v>6</v>
      </c>
      <c r="B52" s="13" t="s">
        <v>22</v>
      </c>
      <c r="C52" s="12">
        <v>3</v>
      </c>
      <c r="D52" s="13" t="s">
        <v>72</v>
      </c>
    </row>
    <row r="53" spans="1:4" x14ac:dyDescent="0.3">
      <c r="A53" s="12" t="s">
        <v>6</v>
      </c>
      <c r="B53" s="13" t="s">
        <v>24</v>
      </c>
      <c r="C53" s="12">
        <v>3</v>
      </c>
      <c r="D53" s="13" t="s">
        <v>73</v>
      </c>
    </row>
    <row r="54" spans="1:4" x14ac:dyDescent="0.3">
      <c r="A54" s="12" t="s">
        <v>6</v>
      </c>
      <c r="B54" s="13" t="s">
        <v>18</v>
      </c>
      <c r="C54" s="12">
        <v>4</v>
      </c>
      <c r="D54" s="13" t="s">
        <v>74</v>
      </c>
    </row>
    <row r="55" spans="1:4" x14ac:dyDescent="0.3">
      <c r="A55" s="12" t="s">
        <v>6</v>
      </c>
      <c r="B55" s="13" t="s">
        <v>20</v>
      </c>
      <c r="C55" s="12">
        <v>4</v>
      </c>
      <c r="D55" s="13" t="s">
        <v>75</v>
      </c>
    </row>
    <row r="56" spans="1:4" x14ac:dyDescent="0.3">
      <c r="A56" s="12" t="s">
        <v>6</v>
      </c>
      <c r="B56" s="13" t="s">
        <v>22</v>
      </c>
      <c r="C56" s="12">
        <v>4</v>
      </c>
      <c r="D56" s="13" t="s">
        <v>76</v>
      </c>
    </row>
    <row r="57" spans="1:4" x14ac:dyDescent="0.3">
      <c r="A57" s="12" t="s">
        <v>6</v>
      </c>
      <c r="B57" s="13" t="s">
        <v>24</v>
      </c>
      <c r="C57" s="12">
        <v>4</v>
      </c>
      <c r="D57" s="13" t="s">
        <v>77</v>
      </c>
    </row>
    <row r="58" spans="1:4" x14ac:dyDescent="0.3">
      <c r="A58" s="12" t="s">
        <v>6</v>
      </c>
      <c r="B58" s="13" t="s">
        <v>18</v>
      </c>
      <c r="C58" s="12">
        <v>5</v>
      </c>
      <c r="D58" s="13" t="s">
        <v>78</v>
      </c>
    </row>
    <row r="59" spans="1:4" x14ac:dyDescent="0.3">
      <c r="A59" s="12" t="s">
        <v>6</v>
      </c>
      <c r="B59" s="13" t="s">
        <v>20</v>
      </c>
      <c r="C59" s="12">
        <v>5</v>
      </c>
      <c r="D59" s="13" t="s">
        <v>79</v>
      </c>
    </row>
    <row r="60" spans="1:4" x14ac:dyDescent="0.3">
      <c r="A60" s="12" t="s">
        <v>6</v>
      </c>
      <c r="B60" s="13" t="s">
        <v>22</v>
      </c>
      <c r="C60" s="12">
        <v>5</v>
      </c>
      <c r="D60" s="13" t="s">
        <v>80</v>
      </c>
    </row>
    <row r="61" spans="1:4" x14ac:dyDescent="0.3">
      <c r="A61" s="12" t="s">
        <v>6</v>
      </c>
      <c r="B61" s="13" t="s">
        <v>24</v>
      </c>
      <c r="C61" s="12">
        <v>5</v>
      </c>
      <c r="D61" s="13" t="s">
        <v>81</v>
      </c>
    </row>
    <row r="62" spans="1:4" x14ac:dyDescent="0.3">
      <c r="A62" s="12" t="s">
        <v>8</v>
      </c>
      <c r="B62" s="13" t="s">
        <v>18</v>
      </c>
      <c r="C62" s="12">
        <v>1</v>
      </c>
      <c r="D62" s="13" t="s">
        <v>82</v>
      </c>
    </row>
    <row r="63" spans="1:4" x14ac:dyDescent="0.3">
      <c r="A63" s="12" t="s">
        <v>8</v>
      </c>
      <c r="B63" s="13" t="s">
        <v>20</v>
      </c>
      <c r="C63" s="12">
        <v>1</v>
      </c>
      <c r="D63" s="13" t="s">
        <v>83</v>
      </c>
    </row>
    <row r="64" spans="1:4" x14ac:dyDescent="0.3">
      <c r="A64" s="12" t="s">
        <v>8</v>
      </c>
      <c r="B64" s="13" t="s">
        <v>22</v>
      </c>
      <c r="C64" s="12">
        <v>1</v>
      </c>
      <c r="D64" s="13" t="s">
        <v>84</v>
      </c>
    </row>
    <row r="65" spans="1:4" x14ac:dyDescent="0.3">
      <c r="A65" s="12" t="s">
        <v>8</v>
      </c>
      <c r="B65" s="13" t="s">
        <v>24</v>
      </c>
      <c r="C65" s="12">
        <v>1</v>
      </c>
      <c r="D65" s="13" t="s">
        <v>85</v>
      </c>
    </row>
    <row r="66" spans="1:4" x14ac:dyDescent="0.3">
      <c r="A66" s="12" t="s">
        <v>8</v>
      </c>
      <c r="B66" s="13" t="s">
        <v>18</v>
      </c>
      <c r="C66" s="12">
        <v>2</v>
      </c>
      <c r="D66" s="13" t="s">
        <v>86</v>
      </c>
    </row>
    <row r="67" spans="1:4" x14ac:dyDescent="0.3">
      <c r="A67" s="12" t="s">
        <v>8</v>
      </c>
      <c r="B67" s="13" t="s">
        <v>20</v>
      </c>
      <c r="C67" s="12">
        <v>2</v>
      </c>
      <c r="D67" s="13" t="s">
        <v>87</v>
      </c>
    </row>
    <row r="68" spans="1:4" x14ac:dyDescent="0.3">
      <c r="A68" s="12" t="s">
        <v>8</v>
      </c>
      <c r="B68" s="13" t="s">
        <v>22</v>
      </c>
      <c r="C68" s="12">
        <v>2</v>
      </c>
      <c r="D68" s="13" t="s">
        <v>88</v>
      </c>
    </row>
    <row r="69" spans="1:4" x14ac:dyDescent="0.3">
      <c r="A69" s="12" t="s">
        <v>8</v>
      </c>
      <c r="B69" s="13" t="s">
        <v>24</v>
      </c>
      <c r="C69" s="12">
        <v>2</v>
      </c>
      <c r="D69" s="13" t="s">
        <v>89</v>
      </c>
    </row>
    <row r="70" spans="1:4" x14ac:dyDescent="0.3">
      <c r="A70" s="12" t="s">
        <v>8</v>
      </c>
      <c r="B70" s="13" t="s">
        <v>18</v>
      </c>
      <c r="C70" s="12">
        <v>3</v>
      </c>
      <c r="D70" s="13" t="s">
        <v>90</v>
      </c>
    </row>
    <row r="71" spans="1:4" x14ac:dyDescent="0.3">
      <c r="A71" s="12" t="s">
        <v>8</v>
      </c>
      <c r="B71" s="13" t="s">
        <v>20</v>
      </c>
      <c r="C71" s="12">
        <v>3</v>
      </c>
      <c r="D71" s="13" t="s">
        <v>91</v>
      </c>
    </row>
    <row r="72" spans="1:4" x14ac:dyDescent="0.3">
      <c r="A72" s="12" t="s">
        <v>8</v>
      </c>
      <c r="B72" s="13" t="s">
        <v>22</v>
      </c>
      <c r="C72" s="12">
        <v>3</v>
      </c>
      <c r="D72" s="13" t="s">
        <v>92</v>
      </c>
    </row>
    <row r="73" spans="1:4" x14ac:dyDescent="0.3">
      <c r="A73" s="12" t="s">
        <v>8</v>
      </c>
      <c r="B73" s="13" t="s">
        <v>24</v>
      </c>
      <c r="C73" s="12">
        <v>3</v>
      </c>
      <c r="D73" s="13" t="s">
        <v>93</v>
      </c>
    </row>
    <row r="74" spans="1:4" x14ac:dyDescent="0.3">
      <c r="A74" s="12" t="s">
        <v>8</v>
      </c>
      <c r="B74" s="13" t="s">
        <v>18</v>
      </c>
      <c r="C74" s="12">
        <v>4</v>
      </c>
      <c r="D74" s="13" t="s">
        <v>94</v>
      </c>
    </row>
    <row r="75" spans="1:4" x14ac:dyDescent="0.3">
      <c r="A75" s="12" t="s">
        <v>8</v>
      </c>
      <c r="B75" s="13" t="s">
        <v>20</v>
      </c>
      <c r="C75" s="12">
        <v>4</v>
      </c>
      <c r="D75" s="13" t="s">
        <v>95</v>
      </c>
    </row>
    <row r="76" spans="1:4" x14ac:dyDescent="0.3">
      <c r="A76" s="12" t="s">
        <v>8</v>
      </c>
      <c r="B76" s="13" t="s">
        <v>22</v>
      </c>
      <c r="C76" s="12">
        <v>4</v>
      </c>
      <c r="D76" s="13" t="s">
        <v>96</v>
      </c>
    </row>
    <row r="77" spans="1:4" x14ac:dyDescent="0.3">
      <c r="A77" s="12" t="s">
        <v>8</v>
      </c>
      <c r="B77" s="13" t="s">
        <v>24</v>
      </c>
      <c r="C77" s="12">
        <v>4</v>
      </c>
      <c r="D77" s="13" t="s">
        <v>97</v>
      </c>
    </row>
    <row r="78" spans="1:4" x14ac:dyDescent="0.3">
      <c r="A78" s="12" t="s">
        <v>8</v>
      </c>
      <c r="B78" s="13" t="s">
        <v>18</v>
      </c>
      <c r="C78" s="12">
        <v>5</v>
      </c>
      <c r="D78" s="13" t="s">
        <v>98</v>
      </c>
    </row>
    <row r="79" spans="1:4" x14ac:dyDescent="0.3">
      <c r="A79" s="12" t="s">
        <v>8</v>
      </c>
      <c r="B79" s="13" t="s">
        <v>20</v>
      </c>
      <c r="C79" s="12">
        <v>5</v>
      </c>
      <c r="D79" s="13" t="s">
        <v>99</v>
      </c>
    </row>
    <row r="80" spans="1:4" x14ac:dyDescent="0.3">
      <c r="A80" s="12" t="s">
        <v>8</v>
      </c>
      <c r="B80" s="13" t="s">
        <v>22</v>
      </c>
      <c r="C80" s="12">
        <v>5</v>
      </c>
      <c r="D80" s="13" t="s">
        <v>100</v>
      </c>
    </row>
    <row r="81" spans="1:4" x14ac:dyDescent="0.3">
      <c r="A81" s="12" t="s">
        <v>8</v>
      </c>
      <c r="B81" s="13" t="s">
        <v>24</v>
      </c>
      <c r="C81" s="12">
        <v>5</v>
      </c>
      <c r="D81" s="13" t="s">
        <v>101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
  <sheetViews>
    <sheetView showGridLines="0" topLeftCell="D1" workbookViewId="0">
      <pane ySplit="1" topLeftCell="A2" activePane="bottomLeft" state="frozen"/>
      <selection pane="bottomLeft" activeCell="M2" sqref="M2"/>
    </sheetView>
  </sheetViews>
  <sheetFormatPr defaultRowHeight="14.4" x14ac:dyDescent="0.3"/>
  <cols>
    <col min="1" max="1" width="12" customWidth="1"/>
    <col min="2" max="2" width="18" customWidth="1"/>
    <col min="3" max="4" width="12" customWidth="1"/>
    <col min="5" max="7" width="14" customWidth="1"/>
    <col min="8" max="8" width="12" customWidth="1"/>
    <col min="9" max="9" width="14" customWidth="1"/>
    <col min="10" max="11" width="28" customWidth="1"/>
    <col min="12" max="12" width="11.88671875" bestFit="1" customWidth="1"/>
    <col min="13" max="13" width="14.21875" bestFit="1" customWidth="1"/>
    <col min="14" max="14" width="18.77734375" bestFit="1" customWidth="1"/>
    <col min="15" max="15" width="21.5546875" bestFit="1" customWidth="1"/>
    <col min="16" max="16" width="11" customWidth="1"/>
  </cols>
  <sheetData>
    <row r="1" spans="1:15" ht="22.05" customHeight="1" x14ac:dyDescent="0.3">
      <c r="A1" s="1" t="s">
        <v>102</v>
      </c>
      <c r="B1" s="1" t="s">
        <v>103</v>
      </c>
      <c r="C1" s="1" t="s">
        <v>0</v>
      </c>
      <c r="D1" s="1" t="s">
        <v>104</v>
      </c>
      <c r="E1" s="1" t="s">
        <v>105</v>
      </c>
      <c r="F1" s="1" t="s">
        <v>106</v>
      </c>
      <c r="G1" s="1" t="s">
        <v>107</v>
      </c>
      <c r="H1" s="1" t="s">
        <v>108</v>
      </c>
      <c r="I1" s="1" t="s">
        <v>109</v>
      </c>
      <c r="J1" s="1" t="s">
        <v>110</v>
      </c>
      <c r="K1" s="1" t="s">
        <v>111</v>
      </c>
      <c r="L1" t="s">
        <v>112</v>
      </c>
      <c r="M1" t="s">
        <v>113</v>
      </c>
      <c r="N1" t="s">
        <v>114</v>
      </c>
      <c r="O1" t="s">
        <v>115</v>
      </c>
    </row>
    <row r="2" spans="1:15" x14ac:dyDescent="0.3">
      <c r="A2" s="4" t="s">
        <v>116</v>
      </c>
      <c r="B2" s="5" t="s">
        <v>117</v>
      </c>
      <c r="C2" s="4" t="s">
        <v>2</v>
      </c>
      <c r="D2" s="4">
        <v>4</v>
      </c>
      <c r="E2" s="4">
        <v>3</v>
      </c>
      <c r="F2" s="4">
        <v>3</v>
      </c>
      <c r="G2" s="4">
        <v>4</v>
      </c>
      <c r="H2" s="4" t="s">
        <v>118</v>
      </c>
      <c r="I2" s="4" t="s">
        <v>118</v>
      </c>
      <c r="J2" s="5" t="s">
        <v>119</v>
      </c>
      <c r="K2" s="5" t="s">
        <v>120</v>
      </c>
      <c r="L2" t="s">
        <v>2</v>
      </c>
    </row>
    <row r="3" spans="1:15" x14ac:dyDescent="0.3">
      <c r="A3" s="4" t="s">
        <v>121</v>
      </c>
      <c r="B3" s="5" t="s">
        <v>122</v>
      </c>
      <c r="C3" s="4" t="s">
        <v>6</v>
      </c>
      <c r="D3" s="4">
        <v>4</v>
      </c>
      <c r="E3" s="4">
        <v>4</v>
      </c>
      <c r="F3" s="4">
        <v>3</v>
      </c>
      <c r="G3" s="4">
        <v>4</v>
      </c>
      <c r="H3" s="4" t="s">
        <v>118</v>
      </c>
      <c r="I3" s="4" t="s">
        <v>118</v>
      </c>
      <c r="J3" s="5" t="s">
        <v>123</v>
      </c>
      <c r="K3" s="5" t="s">
        <v>120</v>
      </c>
      <c r="L3" t="s">
        <v>6</v>
      </c>
    </row>
    <row r="4" spans="1:15" x14ac:dyDescent="0.3">
      <c r="A4" s="4"/>
      <c r="B4" s="5"/>
      <c r="C4" s="4"/>
      <c r="D4" s="4"/>
      <c r="E4" s="4"/>
      <c r="F4" s="4"/>
      <c r="G4" s="4"/>
      <c r="H4" s="4"/>
      <c r="I4" s="4"/>
      <c r="J4" s="5"/>
      <c r="K4" s="5"/>
    </row>
    <row r="5" spans="1:15" x14ac:dyDescent="0.3">
      <c r="A5" s="4"/>
      <c r="B5" s="5"/>
      <c r="C5" s="4"/>
      <c r="D5" s="4"/>
      <c r="E5" s="4"/>
      <c r="F5" s="4"/>
      <c r="G5" s="4"/>
      <c r="H5" s="4"/>
      <c r="I5" s="4"/>
      <c r="J5" s="5"/>
      <c r="K5" s="5"/>
    </row>
    <row r="6" spans="1:15" x14ac:dyDescent="0.3">
      <c r="A6" s="4"/>
      <c r="B6" s="5"/>
      <c r="C6" s="4"/>
      <c r="D6" s="4"/>
      <c r="E6" s="4"/>
      <c r="F6" s="4"/>
      <c r="G6" s="4"/>
      <c r="H6" s="4"/>
      <c r="I6" s="4"/>
      <c r="J6" s="5"/>
      <c r="K6" s="5"/>
    </row>
    <row r="7" spans="1:15" x14ac:dyDescent="0.3">
      <c r="A7" s="4"/>
      <c r="B7" s="5"/>
      <c r="C7" s="4"/>
      <c r="D7" s="4"/>
      <c r="E7" s="4"/>
      <c r="F7" s="4"/>
      <c r="G7" s="4"/>
      <c r="H7" s="4"/>
      <c r="I7" s="4"/>
      <c r="J7" s="5"/>
      <c r="K7" s="5"/>
    </row>
    <row r="8" spans="1:15" x14ac:dyDescent="0.3">
      <c r="A8" s="4"/>
      <c r="B8" s="5"/>
      <c r="C8" s="4"/>
      <c r="D8" s="4"/>
      <c r="E8" s="4"/>
      <c r="F8" s="4"/>
      <c r="G8" s="4"/>
      <c r="H8" s="4"/>
      <c r="I8" s="4"/>
      <c r="J8" s="5"/>
      <c r="K8" s="5"/>
    </row>
    <row r="9" spans="1:15" x14ac:dyDescent="0.3">
      <c r="A9" s="4"/>
      <c r="B9" s="5"/>
      <c r="C9" s="4"/>
      <c r="D9" s="4"/>
      <c r="E9" s="4"/>
      <c r="F9" s="4"/>
      <c r="G9" s="4"/>
      <c r="H9" s="4"/>
      <c r="I9" s="4"/>
      <c r="J9" s="5"/>
      <c r="K9" s="5"/>
    </row>
    <row r="10" spans="1:15" x14ac:dyDescent="0.3">
      <c r="A10" s="4"/>
      <c r="B10" s="5"/>
      <c r="C10" s="4"/>
      <c r="D10" s="4"/>
      <c r="E10" s="4"/>
      <c r="F10" s="4"/>
      <c r="G10" s="4"/>
      <c r="H10" s="4"/>
      <c r="I10" s="4"/>
      <c r="J10" s="5"/>
      <c r="K10" s="5"/>
    </row>
    <row r="11" spans="1:15" x14ac:dyDescent="0.3">
      <c r="A11" s="4"/>
      <c r="B11" s="5"/>
      <c r="C11" s="4"/>
      <c r="D11" s="4"/>
      <c r="E11" s="4"/>
      <c r="F11" s="4"/>
      <c r="G11" s="4"/>
      <c r="H11" s="4"/>
      <c r="I11" s="4"/>
      <c r="J11" s="5"/>
      <c r="K11" s="5"/>
    </row>
    <row r="12" spans="1:15" x14ac:dyDescent="0.3">
      <c r="A12" s="4"/>
      <c r="B12" s="5"/>
      <c r="C12" s="4"/>
      <c r="D12" s="4"/>
      <c r="E12" s="4"/>
      <c r="F12" s="4"/>
      <c r="G12" s="4"/>
      <c r="H12" s="4"/>
      <c r="I12" s="4"/>
      <c r="J12" s="5"/>
      <c r="K12" s="5"/>
    </row>
    <row r="13" spans="1:15" x14ac:dyDescent="0.3">
      <c r="A13" s="4"/>
      <c r="B13" s="5"/>
      <c r="C13" s="4"/>
      <c r="D13" s="4"/>
      <c r="E13" s="4"/>
      <c r="F13" s="4"/>
      <c r="G13" s="4"/>
      <c r="H13" s="4"/>
      <c r="I13" s="4"/>
      <c r="J13" s="5"/>
      <c r="K13" s="5"/>
    </row>
    <row r="14" spans="1:15" x14ac:dyDescent="0.3">
      <c r="A14" s="4"/>
      <c r="B14" s="5"/>
      <c r="C14" s="4"/>
      <c r="D14" s="4"/>
      <c r="E14" s="4"/>
      <c r="F14" s="4"/>
      <c r="G14" s="4"/>
      <c r="H14" s="4"/>
      <c r="I14" s="4"/>
      <c r="J14" s="5"/>
      <c r="K14" s="5"/>
    </row>
    <row r="15" spans="1:15" x14ac:dyDescent="0.3">
      <c r="A15" s="4"/>
      <c r="B15" s="5"/>
      <c r="C15" s="4"/>
      <c r="D15" s="4"/>
      <c r="E15" s="4"/>
      <c r="F15" s="4"/>
      <c r="G15" s="4"/>
      <c r="H15" s="4"/>
      <c r="I15" s="4"/>
      <c r="J15" s="5"/>
      <c r="K15" s="5"/>
    </row>
    <row r="16" spans="1:15" x14ac:dyDescent="0.3">
      <c r="A16" s="4"/>
      <c r="B16" s="5"/>
      <c r="C16" s="4"/>
      <c r="D16" s="4"/>
      <c r="E16" s="4"/>
      <c r="F16" s="4"/>
      <c r="G16" s="4"/>
      <c r="H16" s="4"/>
      <c r="I16" s="4"/>
      <c r="J16" s="5"/>
      <c r="K16" s="5"/>
    </row>
    <row r="17" spans="1:11" x14ac:dyDescent="0.3">
      <c r="A17" s="4"/>
      <c r="B17" s="5"/>
      <c r="C17" s="4"/>
      <c r="D17" s="4"/>
      <c r="E17" s="4"/>
      <c r="F17" s="4"/>
      <c r="G17" s="4"/>
      <c r="H17" s="4"/>
      <c r="I17" s="4"/>
      <c r="J17" s="5"/>
      <c r="K17" s="5"/>
    </row>
    <row r="18" spans="1:11" x14ac:dyDescent="0.3">
      <c r="A18" s="4"/>
      <c r="B18" s="5"/>
      <c r="C18" s="4"/>
      <c r="D18" s="4"/>
      <c r="E18" s="4"/>
      <c r="F18" s="4"/>
      <c r="G18" s="4"/>
      <c r="H18" s="4"/>
      <c r="I18" s="4"/>
      <c r="J18" s="5"/>
      <c r="K18" s="5"/>
    </row>
    <row r="19" spans="1:11" x14ac:dyDescent="0.3">
      <c r="A19" s="4"/>
      <c r="B19" s="5"/>
      <c r="C19" s="4"/>
      <c r="D19" s="4"/>
      <c r="E19" s="4"/>
      <c r="F19" s="4"/>
      <c r="G19" s="4"/>
      <c r="H19" s="4"/>
      <c r="I19" s="4"/>
      <c r="J19" s="5"/>
      <c r="K19" s="5"/>
    </row>
    <row r="20" spans="1:11" x14ac:dyDescent="0.3">
      <c r="A20" s="4"/>
      <c r="B20" s="5"/>
      <c r="C20" s="4"/>
      <c r="D20" s="4"/>
      <c r="E20" s="4"/>
      <c r="F20" s="4"/>
      <c r="G20" s="4"/>
      <c r="H20" s="4"/>
      <c r="I20" s="4"/>
      <c r="J20" s="5"/>
      <c r="K20" s="5"/>
    </row>
    <row r="21" spans="1:11" x14ac:dyDescent="0.3">
      <c r="A21" s="4"/>
      <c r="B21" s="5"/>
      <c r="C21" s="4"/>
      <c r="D21" s="4"/>
      <c r="E21" s="4"/>
      <c r="F21" s="4"/>
      <c r="G21" s="4"/>
      <c r="H21" s="4"/>
      <c r="I21" s="4"/>
      <c r="J21" s="5"/>
      <c r="K21" s="5"/>
    </row>
    <row r="22" spans="1:11" x14ac:dyDescent="0.3">
      <c r="A22" s="4"/>
      <c r="B22" s="5"/>
      <c r="C22" s="4"/>
      <c r="D22" s="4"/>
      <c r="E22" s="4"/>
      <c r="F22" s="4"/>
      <c r="G22" s="4"/>
      <c r="H22" s="4"/>
      <c r="I22" s="4"/>
      <c r="J22" s="5"/>
      <c r="K22" s="5"/>
    </row>
    <row r="23" spans="1:11" x14ac:dyDescent="0.3">
      <c r="A23" s="4"/>
      <c r="B23" s="5"/>
      <c r="C23" s="4"/>
      <c r="D23" s="4"/>
      <c r="E23" s="4"/>
      <c r="F23" s="4"/>
      <c r="G23" s="4"/>
      <c r="H23" s="4"/>
      <c r="I23" s="4"/>
      <c r="J23" s="5"/>
      <c r="K23" s="5"/>
    </row>
    <row r="24" spans="1:11" x14ac:dyDescent="0.3">
      <c r="A24" s="4"/>
      <c r="B24" s="5"/>
      <c r="C24" s="4"/>
      <c r="D24" s="4"/>
      <c r="E24" s="4"/>
      <c r="F24" s="4"/>
      <c r="G24" s="4"/>
      <c r="H24" s="4"/>
      <c r="I24" s="4"/>
      <c r="J24" s="5"/>
      <c r="K24" s="5"/>
    </row>
    <row r="25" spans="1:11" x14ac:dyDescent="0.3">
      <c r="A25" s="4"/>
      <c r="B25" s="5"/>
      <c r="C25" s="4"/>
      <c r="D25" s="4"/>
      <c r="E25" s="4"/>
      <c r="F25" s="4"/>
      <c r="G25" s="4"/>
      <c r="H25" s="4"/>
      <c r="I25" s="4"/>
      <c r="J25" s="5"/>
      <c r="K25" s="5"/>
    </row>
    <row r="26" spans="1:11" x14ac:dyDescent="0.3">
      <c r="A26" s="4"/>
      <c r="B26" s="5"/>
      <c r="C26" s="4"/>
      <c r="D26" s="4"/>
      <c r="E26" s="4"/>
      <c r="F26" s="4"/>
      <c r="G26" s="4"/>
      <c r="H26" s="4"/>
      <c r="I26" s="4"/>
      <c r="J26" s="5"/>
      <c r="K26" s="5"/>
    </row>
    <row r="27" spans="1:11" x14ac:dyDescent="0.3">
      <c r="A27" s="4"/>
      <c r="B27" s="5"/>
      <c r="C27" s="4"/>
      <c r="D27" s="4"/>
      <c r="E27" s="4"/>
      <c r="F27" s="4"/>
      <c r="G27" s="4"/>
      <c r="H27" s="4"/>
      <c r="I27" s="4"/>
      <c r="J27" s="5"/>
      <c r="K27" s="5"/>
    </row>
    <row r="28" spans="1:11" x14ac:dyDescent="0.3">
      <c r="A28" s="4"/>
      <c r="B28" s="5"/>
      <c r="C28" s="4"/>
      <c r="D28" s="4"/>
      <c r="E28" s="4"/>
      <c r="F28" s="4"/>
      <c r="G28" s="4"/>
      <c r="H28" s="4"/>
      <c r="I28" s="4"/>
      <c r="J28" s="5"/>
      <c r="K28" s="5"/>
    </row>
    <row r="29" spans="1:11" x14ac:dyDescent="0.3">
      <c r="A29" s="4"/>
      <c r="B29" s="5"/>
      <c r="C29" s="4"/>
      <c r="D29" s="4"/>
      <c r="E29" s="4"/>
      <c r="F29" s="4"/>
      <c r="G29" s="4"/>
      <c r="H29" s="4"/>
      <c r="I29" s="4"/>
      <c r="J29" s="5"/>
      <c r="K29" s="5"/>
    </row>
    <row r="30" spans="1:11" x14ac:dyDescent="0.3">
      <c r="A30" s="4"/>
      <c r="B30" s="5"/>
      <c r="C30" s="4"/>
      <c r="D30" s="4"/>
      <c r="E30" s="4"/>
      <c r="F30" s="4"/>
      <c r="G30" s="4"/>
      <c r="H30" s="4"/>
      <c r="I30" s="4"/>
      <c r="J30" s="5"/>
      <c r="K30" s="5"/>
    </row>
    <row r="31" spans="1:11" x14ac:dyDescent="0.3">
      <c r="A31" s="4"/>
      <c r="B31" s="5"/>
      <c r="C31" s="4"/>
      <c r="D31" s="4"/>
      <c r="E31" s="4"/>
      <c r="F31" s="4"/>
      <c r="G31" s="4"/>
      <c r="H31" s="4"/>
      <c r="I31" s="4"/>
      <c r="J31" s="5"/>
      <c r="K31" s="5"/>
    </row>
  </sheetData>
  <conditionalFormatting sqref="F2:G31">
    <cfRule type="expression" dxfId="5" priority="2">
      <formula>AND($A2&lt;&gt;"",OR($F2="",$G2=""))</formula>
    </cfRule>
  </conditionalFormatting>
  <conditionalFormatting sqref="J2:J31">
    <cfRule type="expression" dxfId="4" priority="1">
      <formula>AND($J2="",OR($D2&gt;=4,$E2&gt;=4,$F2&gt;=4,$G2&gt;=4))</formula>
    </cfRule>
  </conditionalFormatting>
  <dataValidations count="2">
    <dataValidation type="whole" allowBlank="1" sqref="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xr:uid="{00000000-0002-0000-0300-000000000000}">
      <formula1>1</formula1>
      <formula2>5</formula2>
    </dataValidation>
    <dataValidation type="list" allowBlank="1" sqref="H2 H3 H4 H5 H6 H7 H8 H9 H10 H11 H12 H13 H14 H15 H16 H17 H18 H19 H20 H21 H22 H23 H24 H25 H26 H27 H28 H29 H30 H31 I2 I3 I4 I5 I6 I7 I8 I9 I10 I11 I12 I13 I14 I15 I16 I17 I18 I19 I20 I21 I22 I23 I24 I25 I26 I27 I28 I29 I30 I31" xr:uid="{00000000-0002-0000-0300-000001000000}">
      <formula1>"Yes,No"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1"/>
  <sheetViews>
    <sheetView showGridLines="0" workbookViewId="0">
      <pane ySplit="1" topLeftCell="A2" activePane="bottomLeft" state="frozen"/>
      <selection pane="bottomLeft" activeCell="W2" sqref="W2"/>
    </sheetView>
  </sheetViews>
  <sheetFormatPr defaultRowHeight="14.4" x14ac:dyDescent="0.3"/>
  <cols>
    <col min="1" max="1" width="12" customWidth="1"/>
    <col min="2" max="2" width="18" customWidth="1"/>
    <col min="3" max="3" width="12" customWidth="1"/>
    <col min="4" max="4" width="8" customWidth="1"/>
    <col min="5" max="6" width="10" customWidth="1"/>
    <col min="7" max="7" width="8" customWidth="1"/>
    <col min="8" max="8" width="10" customWidth="1"/>
    <col min="9" max="9" width="12" customWidth="1"/>
    <col min="10" max="10" width="10" customWidth="1"/>
    <col min="11" max="11" width="8" customWidth="1"/>
    <col min="12" max="12" width="10" customWidth="1"/>
    <col min="13" max="13" width="12" customWidth="1"/>
    <col min="14" max="14" width="10" customWidth="1"/>
    <col min="15" max="15" width="8" customWidth="1"/>
    <col min="16" max="17" width="10" customWidth="1"/>
    <col min="18" max="18" width="12" customWidth="1"/>
    <col min="19" max="19" width="10" customWidth="1"/>
    <col min="20" max="20" width="9.109375" bestFit="1" customWidth="1"/>
    <col min="21" max="21" width="10" customWidth="1"/>
  </cols>
  <sheetData>
    <row r="1" spans="1:25" ht="22.05" customHeight="1" x14ac:dyDescent="0.3">
      <c r="A1" s="1" t="s">
        <v>102</v>
      </c>
      <c r="B1" s="1" t="s">
        <v>103</v>
      </c>
      <c r="C1" s="1" t="s">
        <v>0</v>
      </c>
      <c r="D1" s="1" t="s">
        <v>124</v>
      </c>
      <c r="E1" s="1" t="s">
        <v>20</v>
      </c>
      <c r="F1" s="1" t="s">
        <v>22</v>
      </c>
      <c r="G1" s="1" t="s">
        <v>125</v>
      </c>
      <c r="H1" s="1" t="s">
        <v>126</v>
      </c>
      <c r="I1" s="1" t="s">
        <v>127</v>
      </c>
      <c r="J1" s="1" t="s">
        <v>128</v>
      </c>
      <c r="K1" s="1" t="s">
        <v>129</v>
      </c>
      <c r="L1" s="1" t="s">
        <v>130</v>
      </c>
      <c r="M1" s="1" t="s">
        <v>131</v>
      </c>
      <c r="N1" s="1" t="s">
        <v>132</v>
      </c>
      <c r="O1" s="1" t="s">
        <v>133</v>
      </c>
      <c r="P1" s="1" t="s">
        <v>134</v>
      </c>
      <c r="Q1" s="1" t="s">
        <v>135</v>
      </c>
      <c r="R1" s="1" t="s">
        <v>136</v>
      </c>
      <c r="S1" s="1" t="s">
        <v>137</v>
      </c>
      <c r="T1" s="1" t="s">
        <v>138</v>
      </c>
      <c r="U1" s="1" t="s">
        <v>139</v>
      </c>
      <c r="V1" t="s">
        <v>112</v>
      </c>
      <c r="W1" t="s">
        <v>113</v>
      </c>
      <c r="X1" t="s">
        <v>140</v>
      </c>
      <c r="Y1" t="s">
        <v>141</v>
      </c>
    </row>
    <row r="2" spans="1:25" x14ac:dyDescent="0.3">
      <c r="A2" s="3" t="str">
        <f>P2_Input!A2</f>
        <v>E001</v>
      </c>
      <c r="B2" s="2" t="str">
        <f>P2_Input!B2</f>
        <v>Nguyen Van A</v>
      </c>
      <c r="C2" s="3" t="str">
        <f>P2_Input!C2</f>
        <v>BE</v>
      </c>
      <c r="D2" s="3">
        <f>P2_Input!D2</f>
        <v>4</v>
      </c>
      <c r="E2" s="3">
        <f>P2_Input!E2</f>
        <v>3</v>
      </c>
      <c r="F2" s="3">
        <f>P2_Input!F2</f>
        <v>3</v>
      </c>
      <c r="G2" s="3">
        <f>P2_Input!G2</f>
        <v>4</v>
      </c>
      <c r="H2" s="3">
        <f>IF($V2="","",INDEX(Config_Weight!$B$2:$B$5,MATCH($V2,Config_Weight!$A$2:$A$5,0)))</f>
        <v>35</v>
      </c>
      <c r="I2" s="3">
        <f>IF($V2="","",INDEX(Config_Weight!$C$2:$C$5,MATCH($V2,Config_Weight!$A$2:$A$5,0)))</f>
        <v>25</v>
      </c>
      <c r="J2" s="3">
        <f>IF($V2="","",INDEX(Config_Weight!$D$2:$D$5,MATCH($V2,Config_Weight!$A$2:$A$5,0)))</f>
        <v>20</v>
      </c>
      <c r="K2" s="3">
        <f>IF($V2="","",INDEX(Config_Weight!$E$2:$E$5,MATCH($V2,Config_Weight!$A$2:$A$5,0)))</f>
        <v>20</v>
      </c>
      <c r="L2" s="6">
        <f t="shared" ref="L2:L31" si="0">IF($A2="","",$D2*$H2/100)</f>
        <v>1.4</v>
      </c>
      <c r="M2" s="6">
        <f t="shared" ref="M2:M31" si="1">IF($A2="","",$E2*$I2/100)</f>
        <v>0.75</v>
      </c>
      <c r="N2" s="6">
        <f t="shared" ref="N2:N31" si="2">IF($A2="","",$F2*$J2/100)</f>
        <v>0.6</v>
      </c>
      <c r="O2" s="6">
        <f t="shared" ref="O2:O31" si="3">IF($A2="","",$G2*$K2/100)</f>
        <v>0.8</v>
      </c>
      <c r="P2" s="6">
        <f t="shared" ref="P2:P31" si="4">IF($A2="","",SUM($L2:$O2))</f>
        <v>3.55</v>
      </c>
      <c r="Q2" s="3">
        <f t="shared" ref="Q2:Q31" si="5">IF($A2="","",IF(OR($F2&lt;3,$G2&lt;3),1,0))</f>
        <v>0</v>
      </c>
      <c r="R2" s="3">
        <f>IF($A2="","",IF(OR(P2_Input!H2="Yes",P2_Input!I2="Yes"),1,0))</f>
        <v>0</v>
      </c>
      <c r="S2" s="6" t="e">
        <f t="shared" ref="S2:S31" si="6">IF($A2="","",IF($W2="",$X2,$X2*0.7+$Y2*0.3))</f>
        <v>#N/A</v>
      </c>
      <c r="T2" s="3" t="e">
        <f t="shared" ref="T2:T31" si="7">IF($A2="","",IF($S2&lt;2.5,"D",IF($S2&lt;3.3,"C",IF($S2&lt;3.9,"B","A"))))</f>
        <v>#N/A</v>
      </c>
      <c r="U2" s="3" t="e">
        <f t="shared" ref="U2:U31" si="8">IF($A2="","",IF($R2=0,$T2,IF($T2="A","B",IF($T2="B","C",IF($T2="C","D","D")))))</f>
        <v>#N/A</v>
      </c>
      <c r="V2" t="str">
        <f>P2_Input!L2</f>
        <v>BE</v>
      </c>
      <c r="W2">
        <f>P2_Input!M2</f>
        <v>0</v>
      </c>
      <c r="X2">
        <f t="shared" ref="X2:X31" si="9">IF($A2="","",IF($Q2=1,MIN($P2,3.2),$P2))</f>
        <v>3.55</v>
      </c>
      <c r="Y2" t="e">
        <f>IF(OR($A2="",$W2=""),"",((P2_Input!N2*INDEX(Config_Weight!$B$2:$B$5,MATCH($W2,Config_Weight!$A$2:$A$5,0))/100)+(P2_Input!O2*INDEX(Config_Weight!$C$2:$C$5,MATCH($W2,Config_Weight!$A$2:$A$5,0))/100))/((INDEX(Config_Weight!$B$2:$B$5,MATCH($W2,Config_Weight!$A$2:$A$5,0))+INDEX(Config_Weight!$C$2:$C$5,MATCH($W2,Config_Weight!$A$2:$A$5,0)))/100))</f>
        <v>#N/A</v>
      </c>
    </row>
    <row r="3" spans="1:25" x14ac:dyDescent="0.3">
      <c r="A3" s="3" t="str">
        <f>P2_Input!A3</f>
        <v>E002</v>
      </c>
      <c r="B3" s="2" t="str">
        <f>P2_Input!B3</f>
        <v>Tran Thi B</v>
      </c>
      <c r="C3" s="3" t="str">
        <f>P2_Input!C3</f>
        <v>DE</v>
      </c>
      <c r="D3" s="3">
        <f>P2_Input!D3</f>
        <v>4</v>
      </c>
      <c r="E3" s="3">
        <f>P2_Input!E3</f>
        <v>4</v>
      </c>
      <c r="F3" s="3">
        <f>P2_Input!F3</f>
        <v>3</v>
      </c>
      <c r="G3" s="3">
        <f>P2_Input!G3</f>
        <v>4</v>
      </c>
      <c r="H3" s="3">
        <f>IF($V3="","",INDEX(Config_Weight!$B$2:$B$5,MATCH($V3,Config_Weight!$A$2:$A$5,0)))</f>
        <v>40</v>
      </c>
      <c r="I3" s="3">
        <f>IF($V3="","",INDEX(Config_Weight!$C$2:$C$5,MATCH($V3,Config_Weight!$A$2:$A$5,0)))</f>
        <v>25</v>
      </c>
      <c r="J3" s="3">
        <f>IF($V3="","",INDEX(Config_Weight!$D$2:$D$5,MATCH($V3,Config_Weight!$A$2:$A$5,0)))</f>
        <v>15</v>
      </c>
      <c r="K3" s="3">
        <f>IF($V3="","",INDEX(Config_Weight!$E$2:$E$5,MATCH($V3,Config_Weight!$A$2:$A$5,0)))</f>
        <v>20</v>
      </c>
      <c r="L3" s="6">
        <f t="shared" si="0"/>
        <v>1.6</v>
      </c>
      <c r="M3" s="6">
        <f t="shared" si="1"/>
        <v>1</v>
      </c>
      <c r="N3" s="6">
        <f t="shared" si="2"/>
        <v>0.45</v>
      </c>
      <c r="O3" s="6">
        <f t="shared" si="3"/>
        <v>0.8</v>
      </c>
      <c r="P3" s="6">
        <f t="shared" si="4"/>
        <v>3.8500000000000005</v>
      </c>
      <c r="Q3" s="3">
        <f t="shared" si="5"/>
        <v>0</v>
      </c>
      <c r="R3" s="3">
        <f>IF($A3="","",IF(OR(P2_Input!H3="Yes",P2_Input!I3="Yes"),1,0))</f>
        <v>0</v>
      </c>
      <c r="S3" s="6" t="e">
        <f t="shared" si="6"/>
        <v>#N/A</v>
      </c>
      <c r="T3" s="3" t="e">
        <f t="shared" si="7"/>
        <v>#N/A</v>
      </c>
      <c r="U3" s="3" t="e">
        <f t="shared" si="8"/>
        <v>#N/A</v>
      </c>
      <c r="V3" t="str">
        <f>P2_Input!L3</f>
        <v>DE</v>
      </c>
      <c r="W3">
        <f>P2_Input!M3</f>
        <v>0</v>
      </c>
      <c r="X3">
        <f t="shared" si="9"/>
        <v>3.8500000000000005</v>
      </c>
      <c r="Y3" t="e">
        <f>IF(OR($A3="",$W3=""),"",((P2_Input!N3*INDEX(Config_Weight!$B$2:$B$5,MATCH($W3,Config_Weight!$A$2:$A$5,0))/100)+(P2_Input!O3*INDEX(Config_Weight!$C$2:$C$5,MATCH($W3,Config_Weight!$A$2:$A$5,0))/100))/((INDEX(Config_Weight!$B$2:$B$5,MATCH($W3,Config_Weight!$A$2:$A$5,0))+INDEX(Config_Weight!$C$2:$C$5,MATCH($W3,Config_Weight!$A$2:$A$5,0)))/100))</f>
        <v>#N/A</v>
      </c>
    </row>
    <row r="4" spans="1:25" x14ac:dyDescent="0.3">
      <c r="A4" s="3">
        <f>P2_Input!A4</f>
        <v>0</v>
      </c>
      <c r="B4" s="2">
        <f>P2_Input!B4</f>
        <v>0</v>
      </c>
      <c r="C4" s="3">
        <f>P2_Input!C4</f>
        <v>0</v>
      </c>
      <c r="D4" s="3">
        <f>P2_Input!D4</f>
        <v>0</v>
      </c>
      <c r="E4" s="3">
        <f>P2_Input!E4</f>
        <v>0</v>
      </c>
      <c r="F4" s="3">
        <f>P2_Input!F4</f>
        <v>0</v>
      </c>
      <c r="G4" s="3">
        <f>P2_Input!G4</f>
        <v>0</v>
      </c>
      <c r="H4" s="3" t="e">
        <f>IF($V4="","",INDEX(Config_Weight!$B$2:$B$5,MATCH($V4,Config_Weight!$A$2:$A$5,0)))</f>
        <v>#N/A</v>
      </c>
      <c r="I4" s="3" t="e">
        <f>IF($V4="","",INDEX(Config_Weight!$C$2:$C$5,MATCH($V4,Config_Weight!$A$2:$A$5,0)))</f>
        <v>#N/A</v>
      </c>
      <c r="J4" s="3" t="e">
        <f>IF($V4="","",INDEX(Config_Weight!$D$2:$D$5,MATCH($V4,Config_Weight!$A$2:$A$5,0)))</f>
        <v>#N/A</v>
      </c>
      <c r="K4" s="3" t="e">
        <f>IF($V4="","",INDEX(Config_Weight!$E$2:$E$5,MATCH($V4,Config_Weight!$A$2:$A$5,0)))</f>
        <v>#N/A</v>
      </c>
      <c r="L4" s="6" t="e">
        <f t="shared" si="0"/>
        <v>#N/A</v>
      </c>
      <c r="M4" s="6" t="e">
        <f t="shared" si="1"/>
        <v>#N/A</v>
      </c>
      <c r="N4" s="6" t="e">
        <f t="shared" si="2"/>
        <v>#N/A</v>
      </c>
      <c r="O4" s="6" t="e">
        <f t="shared" si="3"/>
        <v>#N/A</v>
      </c>
      <c r="P4" s="6" t="e">
        <f t="shared" si="4"/>
        <v>#N/A</v>
      </c>
      <c r="Q4" s="3">
        <f t="shared" si="5"/>
        <v>1</v>
      </c>
      <c r="R4" s="3">
        <f>IF($A4="","",IF(OR(P2_Input!H4="Yes",P2_Input!I4="Yes"),1,0))</f>
        <v>0</v>
      </c>
      <c r="S4" s="6" t="e">
        <f t="shared" si="6"/>
        <v>#N/A</v>
      </c>
      <c r="T4" s="3" t="e">
        <f t="shared" si="7"/>
        <v>#N/A</v>
      </c>
      <c r="U4" s="3" t="e">
        <f t="shared" si="8"/>
        <v>#N/A</v>
      </c>
      <c r="V4">
        <f>P2_Input!L4</f>
        <v>0</v>
      </c>
      <c r="W4">
        <f>P2_Input!M4</f>
        <v>0</v>
      </c>
      <c r="X4" t="e">
        <f t="shared" si="9"/>
        <v>#N/A</v>
      </c>
      <c r="Y4" t="e">
        <f>IF(OR($A4="",$W4=""),"",((P2_Input!N4*INDEX(Config_Weight!$B$2:$B$5,MATCH($W4,Config_Weight!$A$2:$A$5,0))/100)+(P2_Input!O4*INDEX(Config_Weight!$C$2:$C$5,MATCH($W4,Config_Weight!$A$2:$A$5,0))/100))/((INDEX(Config_Weight!$B$2:$B$5,MATCH($W4,Config_Weight!$A$2:$A$5,0))+INDEX(Config_Weight!$C$2:$C$5,MATCH($W4,Config_Weight!$A$2:$A$5,0)))/100))</f>
        <v>#N/A</v>
      </c>
    </row>
    <row r="5" spans="1:25" x14ac:dyDescent="0.3">
      <c r="A5" s="3">
        <f>P2_Input!A5</f>
        <v>0</v>
      </c>
      <c r="B5" s="2">
        <f>P2_Input!B5</f>
        <v>0</v>
      </c>
      <c r="C5" s="3">
        <f>P2_Input!C5</f>
        <v>0</v>
      </c>
      <c r="D5" s="3">
        <f>P2_Input!D5</f>
        <v>0</v>
      </c>
      <c r="E5" s="3">
        <f>P2_Input!E5</f>
        <v>0</v>
      </c>
      <c r="F5" s="3">
        <f>P2_Input!F5</f>
        <v>0</v>
      </c>
      <c r="G5" s="3">
        <f>P2_Input!G5</f>
        <v>0</v>
      </c>
      <c r="H5" s="3" t="e">
        <f>IF($V5="","",INDEX(Config_Weight!$B$2:$B$5,MATCH($V5,Config_Weight!$A$2:$A$5,0)))</f>
        <v>#N/A</v>
      </c>
      <c r="I5" s="3" t="e">
        <f>IF($V5="","",INDEX(Config_Weight!$C$2:$C$5,MATCH($V5,Config_Weight!$A$2:$A$5,0)))</f>
        <v>#N/A</v>
      </c>
      <c r="J5" s="3" t="e">
        <f>IF($V5="","",INDEX(Config_Weight!$D$2:$D$5,MATCH($V5,Config_Weight!$A$2:$A$5,0)))</f>
        <v>#N/A</v>
      </c>
      <c r="K5" s="3" t="e">
        <f>IF($V5="","",INDEX(Config_Weight!$E$2:$E$5,MATCH($V5,Config_Weight!$A$2:$A$5,0)))</f>
        <v>#N/A</v>
      </c>
      <c r="L5" s="6" t="e">
        <f t="shared" si="0"/>
        <v>#N/A</v>
      </c>
      <c r="M5" s="6" t="e">
        <f t="shared" si="1"/>
        <v>#N/A</v>
      </c>
      <c r="N5" s="6" t="e">
        <f t="shared" si="2"/>
        <v>#N/A</v>
      </c>
      <c r="O5" s="6" t="e">
        <f t="shared" si="3"/>
        <v>#N/A</v>
      </c>
      <c r="P5" s="6" t="e">
        <f t="shared" si="4"/>
        <v>#N/A</v>
      </c>
      <c r="Q5" s="3">
        <f t="shared" si="5"/>
        <v>1</v>
      </c>
      <c r="R5" s="3">
        <f>IF($A5="","",IF(OR(P2_Input!H5="Yes",P2_Input!I5="Yes"),1,0))</f>
        <v>0</v>
      </c>
      <c r="S5" s="6" t="e">
        <f t="shared" si="6"/>
        <v>#N/A</v>
      </c>
      <c r="T5" s="3" t="e">
        <f t="shared" si="7"/>
        <v>#N/A</v>
      </c>
      <c r="U5" s="3" t="e">
        <f t="shared" si="8"/>
        <v>#N/A</v>
      </c>
      <c r="V5">
        <f>P2_Input!L5</f>
        <v>0</v>
      </c>
      <c r="W5">
        <f>P2_Input!M5</f>
        <v>0</v>
      </c>
      <c r="X5" t="e">
        <f t="shared" si="9"/>
        <v>#N/A</v>
      </c>
      <c r="Y5" t="e">
        <f>IF(OR($A5="",$W5=""),"",((P2_Input!N5*INDEX(Config_Weight!$B$2:$B$5,MATCH($W5,Config_Weight!$A$2:$A$5,0))/100)+(P2_Input!O5*INDEX(Config_Weight!$C$2:$C$5,MATCH($W5,Config_Weight!$A$2:$A$5,0))/100))/((INDEX(Config_Weight!$B$2:$B$5,MATCH($W5,Config_Weight!$A$2:$A$5,0))+INDEX(Config_Weight!$C$2:$C$5,MATCH($W5,Config_Weight!$A$2:$A$5,0)))/100))</f>
        <v>#N/A</v>
      </c>
    </row>
    <row r="6" spans="1:25" x14ac:dyDescent="0.3">
      <c r="A6" s="3">
        <f>P2_Input!A6</f>
        <v>0</v>
      </c>
      <c r="B6" s="2">
        <f>P2_Input!B6</f>
        <v>0</v>
      </c>
      <c r="C6" s="3">
        <f>P2_Input!C6</f>
        <v>0</v>
      </c>
      <c r="D6" s="3">
        <f>P2_Input!D6</f>
        <v>0</v>
      </c>
      <c r="E6" s="3">
        <f>P2_Input!E6</f>
        <v>0</v>
      </c>
      <c r="F6" s="3">
        <f>P2_Input!F6</f>
        <v>0</v>
      </c>
      <c r="G6" s="3">
        <f>P2_Input!G6</f>
        <v>0</v>
      </c>
      <c r="H6" s="3" t="e">
        <f>IF($V6="","",INDEX(Config_Weight!$B$2:$B$5,MATCH($V6,Config_Weight!$A$2:$A$5,0)))</f>
        <v>#N/A</v>
      </c>
      <c r="I6" s="3" t="e">
        <f>IF($V6="","",INDEX(Config_Weight!$C$2:$C$5,MATCH($V6,Config_Weight!$A$2:$A$5,0)))</f>
        <v>#N/A</v>
      </c>
      <c r="J6" s="3" t="e">
        <f>IF($V6="","",INDEX(Config_Weight!$D$2:$D$5,MATCH($V6,Config_Weight!$A$2:$A$5,0)))</f>
        <v>#N/A</v>
      </c>
      <c r="K6" s="3" t="e">
        <f>IF($V6="","",INDEX(Config_Weight!$E$2:$E$5,MATCH($V6,Config_Weight!$A$2:$A$5,0)))</f>
        <v>#N/A</v>
      </c>
      <c r="L6" s="6" t="e">
        <f t="shared" si="0"/>
        <v>#N/A</v>
      </c>
      <c r="M6" s="6" t="e">
        <f t="shared" si="1"/>
        <v>#N/A</v>
      </c>
      <c r="N6" s="6" t="e">
        <f t="shared" si="2"/>
        <v>#N/A</v>
      </c>
      <c r="O6" s="6" t="e">
        <f t="shared" si="3"/>
        <v>#N/A</v>
      </c>
      <c r="P6" s="6" t="e">
        <f t="shared" si="4"/>
        <v>#N/A</v>
      </c>
      <c r="Q6" s="3">
        <f t="shared" si="5"/>
        <v>1</v>
      </c>
      <c r="R6" s="3">
        <f>IF($A6="","",IF(OR(P2_Input!H6="Yes",P2_Input!I6="Yes"),1,0))</f>
        <v>0</v>
      </c>
      <c r="S6" s="6" t="e">
        <f t="shared" si="6"/>
        <v>#N/A</v>
      </c>
      <c r="T6" s="3" t="e">
        <f t="shared" si="7"/>
        <v>#N/A</v>
      </c>
      <c r="U6" s="3" t="e">
        <f t="shared" si="8"/>
        <v>#N/A</v>
      </c>
      <c r="V6">
        <f>P2_Input!L6</f>
        <v>0</v>
      </c>
      <c r="W6">
        <f>P2_Input!M6</f>
        <v>0</v>
      </c>
      <c r="X6" t="e">
        <f t="shared" si="9"/>
        <v>#N/A</v>
      </c>
      <c r="Y6" t="e">
        <f>IF(OR($A6="",$W6=""),"",((P2_Input!N6*INDEX(Config_Weight!$B$2:$B$5,MATCH($W6,Config_Weight!$A$2:$A$5,0))/100)+(P2_Input!O6*INDEX(Config_Weight!$C$2:$C$5,MATCH($W6,Config_Weight!$A$2:$A$5,0))/100))/((INDEX(Config_Weight!$B$2:$B$5,MATCH($W6,Config_Weight!$A$2:$A$5,0))+INDEX(Config_Weight!$C$2:$C$5,MATCH($W6,Config_Weight!$A$2:$A$5,0)))/100))</f>
        <v>#N/A</v>
      </c>
    </row>
    <row r="7" spans="1:25" x14ac:dyDescent="0.3">
      <c r="A7" s="3">
        <f>P2_Input!A7</f>
        <v>0</v>
      </c>
      <c r="B7" s="2">
        <f>P2_Input!B7</f>
        <v>0</v>
      </c>
      <c r="C7" s="3">
        <f>P2_Input!C7</f>
        <v>0</v>
      </c>
      <c r="D7" s="3">
        <f>P2_Input!D7</f>
        <v>0</v>
      </c>
      <c r="E7" s="3">
        <f>P2_Input!E7</f>
        <v>0</v>
      </c>
      <c r="F7" s="3">
        <f>P2_Input!F7</f>
        <v>0</v>
      </c>
      <c r="G7" s="3">
        <f>P2_Input!G7</f>
        <v>0</v>
      </c>
      <c r="H7" s="3" t="e">
        <f>IF($V7="","",INDEX(Config_Weight!$B$2:$B$5,MATCH($V7,Config_Weight!$A$2:$A$5,0)))</f>
        <v>#N/A</v>
      </c>
      <c r="I7" s="3" t="e">
        <f>IF($V7="","",INDEX(Config_Weight!$C$2:$C$5,MATCH($V7,Config_Weight!$A$2:$A$5,0)))</f>
        <v>#N/A</v>
      </c>
      <c r="J7" s="3" t="e">
        <f>IF($V7="","",INDEX(Config_Weight!$D$2:$D$5,MATCH($V7,Config_Weight!$A$2:$A$5,0)))</f>
        <v>#N/A</v>
      </c>
      <c r="K7" s="3" t="e">
        <f>IF($V7="","",INDEX(Config_Weight!$E$2:$E$5,MATCH($V7,Config_Weight!$A$2:$A$5,0)))</f>
        <v>#N/A</v>
      </c>
      <c r="L7" s="6" t="e">
        <f t="shared" si="0"/>
        <v>#N/A</v>
      </c>
      <c r="M7" s="6" t="e">
        <f t="shared" si="1"/>
        <v>#N/A</v>
      </c>
      <c r="N7" s="6" t="e">
        <f t="shared" si="2"/>
        <v>#N/A</v>
      </c>
      <c r="O7" s="6" t="e">
        <f t="shared" si="3"/>
        <v>#N/A</v>
      </c>
      <c r="P7" s="6" t="e">
        <f t="shared" si="4"/>
        <v>#N/A</v>
      </c>
      <c r="Q7" s="3">
        <f t="shared" si="5"/>
        <v>1</v>
      </c>
      <c r="R7" s="3">
        <f>IF($A7="","",IF(OR(P2_Input!H7="Yes",P2_Input!I7="Yes"),1,0))</f>
        <v>0</v>
      </c>
      <c r="S7" s="6" t="e">
        <f t="shared" si="6"/>
        <v>#N/A</v>
      </c>
      <c r="T7" s="3" t="e">
        <f t="shared" si="7"/>
        <v>#N/A</v>
      </c>
      <c r="U7" s="3" t="e">
        <f t="shared" si="8"/>
        <v>#N/A</v>
      </c>
      <c r="V7">
        <f>P2_Input!L7</f>
        <v>0</v>
      </c>
      <c r="W7">
        <f>P2_Input!M7</f>
        <v>0</v>
      </c>
      <c r="X7" t="e">
        <f t="shared" si="9"/>
        <v>#N/A</v>
      </c>
      <c r="Y7" t="e">
        <f>IF(OR($A7="",$W7=""),"",((P2_Input!N7*INDEX(Config_Weight!$B$2:$B$5,MATCH($W7,Config_Weight!$A$2:$A$5,0))/100)+(P2_Input!O7*INDEX(Config_Weight!$C$2:$C$5,MATCH($W7,Config_Weight!$A$2:$A$5,0))/100))/((INDEX(Config_Weight!$B$2:$B$5,MATCH($W7,Config_Weight!$A$2:$A$5,0))+INDEX(Config_Weight!$C$2:$C$5,MATCH($W7,Config_Weight!$A$2:$A$5,0)))/100))</f>
        <v>#N/A</v>
      </c>
    </row>
    <row r="8" spans="1:25" x14ac:dyDescent="0.3">
      <c r="A8" s="3">
        <f>P2_Input!A8</f>
        <v>0</v>
      </c>
      <c r="B8" s="2">
        <f>P2_Input!B8</f>
        <v>0</v>
      </c>
      <c r="C8" s="3">
        <f>P2_Input!C8</f>
        <v>0</v>
      </c>
      <c r="D8" s="3">
        <f>P2_Input!D8</f>
        <v>0</v>
      </c>
      <c r="E8" s="3">
        <f>P2_Input!E8</f>
        <v>0</v>
      </c>
      <c r="F8" s="3">
        <f>P2_Input!F8</f>
        <v>0</v>
      </c>
      <c r="G8" s="3">
        <f>P2_Input!G8</f>
        <v>0</v>
      </c>
      <c r="H8" s="3" t="e">
        <f>IF($V8="","",INDEX(Config_Weight!$B$2:$B$5,MATCH($V8,Config_Weight!$A$2:$A$5,0)))</f>
        <v>#N/A</v>
      </c>
      <c r="I8" s="3" t="e">
        <f>IF($V8="","",INDEX(Config_Weight!$C$2:$C$5,MATCH($V8,Config_Weight!$A$2:$A$5,0)))</f>
        <v>#N/A</v>
      </c>
      <c r="J8" s="3" t="e">
        <f>IF($V8="","",INDEX(Config_Weight!$D$2:$D$5,MATCH($V8,Config_Weight!$A$2:$A$5,0)))</f>
        <v>#N/A</v>
      </c>
      <c r="K8" s="3" t="e">
        <f>IF($V8="","",INDEX(Config_Weight!$E$2:$E$5,MATCH($V8,Config_Weight!$A$2:$A$5,0)))</f>
        <v>#N/A</v>
      </c>
      <c r="L8" s="6" t="e">
        <f t="shared" si="0"/>
        <v>#N/A</v>
      </c>
      <c r="M8" s="6" t="e">
        <f t="shared" si="1"/>
        <v>#N/A</v>
      </c>
      <c r="N8" s="6" t="e">
        <f t="shared" si="2"/>
        <v>#N/A</v>
      </c>
      <c r="O8" s="6" t="e">
        <f t="shared" si="3"/>
        <v>#N/A</v>
      </c>
      <c r="P8" s="6" t="e">
        <f t="shared" si="4"/>
        <v>#N/A</v>
      </c>
      <c r="Q8" s="3">
        <f t="shared" si="5"/>
        <v>1</v>
      </c>
      <c r="R8" s="3">
        <f>IF($A8="","",IF(OR(P2_Input!H8="Yes",P2_Input!I8="Yes"),1,0))</f>
        <v>0</v>
      </c>
      <c r="S8" s="6" t="e">
        <f t="shared" si="6"/>
        <v>#N/A</v>
      </c>
      <c r="T8" s="3" t="e">
        <f t="shared" si="7"/>
        <v>#N/A</v>
      </c>
      <c r="U8" s="3" t="e">
        <f t="shared" si="8"/>
        <v>#N/A</v>
      </c>
      <c r="V8">
        <f>P2_Input!L8</f>
        <v>0</v>
      </c>
      <c r="W8">
        <f>P2_Input!M8</f>
        <v>0</v>
      </c>
      <c r="X8" t="e">
        <f t="shared" si="9"/>
        <v>#N/A</v>
      </c>
      <c r="Y8" t="e">
        <f>IF(OR($A8="",$W8=""),"",((P2_Input!N8*INDEX(Config_Weight!$B$2:$B$5,MATCH($W8,Config_Weight!$A$2:$A$5,0))/100)+(P2_Input!O8*INDEX(Config_Weight!$C$2:$C$5,MATCH($W8,Config_Weight!$A$2:$A$5,0))/100))/((INDEX(Config_Weight!$B$2:$B$5,MATCH($W8,Config_Weight!$A$2:$A$5,0))+INDEX(Config_Weight!$C$2:$C$5,MATCH($W8,Config_Weight!$A$2:$A$5,0)))/100))</f>
        <v>#N/A</v>
      </c>
    </row>
    <row r="9" spans="1:25" x14ac:dyDescent="0.3">
      <c r="A9" s="3">
        <f>P2_Input!A9</f>
        <v>0</v>
      </c>
      <c r="B9" s="2">
        <f>P2_Input!B9</f>
        <v>0</v>
      </c>
      <c r="C9" s="3">
        <f>P2_Input!C9</f>
        <v>0</v>
      </c>
      <c r="D9" s="3">
        <f>P2_Input!D9</f>
        <v>0</v>
      </c>
      <c r="E9" s="3">
        <f>P2_Input!E9</f>
        <v>0</v>
      </c>
      <c r="F9" s="3">
        <f>P2_Input!F9</f>
        <v>0</v>
      </c>
      <c r="G9" s="3">
        <f>P2_Input!G9</f>
        <v>0</v>
      </c>
      <c r="H9" s="3" t="e">
        <f>IF($V9="","",INDEX(Config_Weight!$B$2:$B$5,MATCH($V9,Config_Weight!$A$2:$A$5,0)))</f>
        <v>#N/A</v>
      </c>
      <c r="I9" s="3" t="e">
        <f>IF($V9="","",INDEX(Config_Weight!$C$2:$C$5,MATCH($V9,Config_Weight!$A$2:$A$5,0)))</f>
        <v>#N/A</v>
      </c>
      <c r="J9" s="3" t="e">
        <f>IF($V9="","",INDEX(Config_Weight!$D$2:$D$5,MATCH($V9,Config_Weight!$A$2:$A$5,0)))</f>
        <v>#N/A</v>
      </c>
      <c r="K9" s="3" t="e">
        <f>IF($V9="","",INDEX(Config_Weight!$E$2:$E$5,MATCH($V9,Config_Weight!$A$2:$A$5,0)))</f>
        <v>#N/A</v>
      </c>
      <c r="L9" s="6" t="e">
        <f t="shared" si="0"/>
        <v>#N/A</v>
      </c>
      <c r="M9" s="6" t="e">
        <f t="shared" si="1"/>
        <v>#N/A</v>
      </c>
      <c r="N9" s="6" t="e">
        <f t="shared" si="2"/>
        <v>#N/A</v>
      </c>
      <c r="O9" s="6" t="e">
        <f t="shared" si="3"/>
        <v>#N/A</v>
      </c>
      <c r="P9" s="6" t="e">
        <f t="shared" si="4"/>
        <v>#N/A</v>
      </c>
      <c r="Q9" s="3">
        <f t="shared" si="5"/>
        <v>1</v>
      </c>
      <c r="R9" s="3">
        <f>IF($A9="","",IF(OR(P2_Input!H9="Yes",P2_Input!I9="Yes"),1,0))</f>
        <v>0</v>
      </c>
      <c r="S9" s="6" t="e">
        <f t="shared" si="6"/>
        <v>#N/A</v>
      </c>
      <c r="T9" s="3" t="e">
        <f t="shared" si="7"/>
        <v>#N/A</v>
      </c>
      <c r="U9" s="3" t="e">
        <f t="shared" si="8"/>
        <v>#N/A</v>
      </c>
      <c r="V9">
        <f>P2_Input!L9</f>
        <v>0</v>
      </c>
      <c r="W9">
        <f>P2_Input!M9</f>
        <v>0</v>
      </c>
      <c r="X9" t="e">
        <f t="shared" si="9"/>
        <v>#N/A</v>
      </c>
      <c r="Y9" t="e">
        <f>IF(OR($A9="",$W9=""),"",((P2_Input!N9*INDEX(Config_Weight!$B$2:$B$5,MATCH($W9,Config_Weight!$A$2:$A$5,0))/100)+(P2_Input!O9*INDEX(Config_Weight!$C$2:$C$5,MATCH($W9,Config_Weight!$A$2:$A$5,0))/100))/((INDEX(Config_Weight!$B$2:$B$5,MATCH($W9,Config_Weight!$A$2:$A$5,0))+INDEX(Config_Weight!$C$2:$C$5,MATCH($W9,Config_Weight!$A$2:$A$5,0)))/100))</f>
        <v>#N/A</v>
      </c>
    </row>
    <row r="10" spans="1:25" x14ac:dyDescent="0.3">
      <c r="A10" s="3">
        <f>P2_Input!A10</f>
        <v>0</v>
      </c>
      <c r="B10" s="2">
        <f>P2_Input!B10</f>
        <v>0</v>
      </c>
      <c r="C10" s="3">
        <f>P2_Input!C10</f>
        <v>0</v>
      </c>
      <c r="D10" s="3">
        <f>P2_Input!D10</f>
        <v>0</v>
      </c>
      <c r="E10" s="3">
        <f>P2_Input!E10</f>
        <v>0</v>
      </c>
      <c r="F10" s="3">
        <f>P2_Input!F10</f>
        <v>0</v>
      </c>
      <c r="G10" s="3">
        <f>P2_Input!G10</f>
        <v>0</v>
      </c>
      <c r="H10" s="3" t="e">
        <f>IF($V10="","",INDEX(Config_Weight!$B$2:$B$5,MATCH($V10,Config_Weight!$A$2:$A$5,0)))</f>
        <v>#N/A</v>
      </c>
      <c r="I10" s="3" t="e">
        <f>IF($V10="","",INDEX(Config_Weight!$C$2:$C$5,MATCH($V10,Config_Weight!$A$2:$A$5,0)))</f>
        <v>#N/A</v>
      </c>
      <c r="J10" s="3" t="e">
        <f>IF($V10="","",INDEX(Config_Weight!$D$2:$D$5,MATCH($V10,Config_Weight!$A$2:$A$5,0)))</f>
        <v>#N/A</v>
      </c>
      <c r="K10" s="3" t="e">
        <f>IF($V10="","",INDEX(Config_Weight!$E$2:$E$5,MATCH($V10,Config_Weight!$A$2:$A$5,0)))</f>
        <v>#N/A</v>
      </c>
      <c r="L10" s="6" t="e">
        <f t="shared" si="0"/>
        <v>#N/A</v>
      </c>
      <c r="M10" s="6" t="e">
        <f t="shared" si="1"/>
        <v>#N/A</v>
      </c>
      <c r="N10" s="6" t="e">
        <f t="shared" si="2"/>
        <v>#N/A</v>
      </c>
      <c r="O10" s="6" t="e">
        <f t="shared" si="3"/>
        <v>#N/A</v>
      </c>
      <c r="P10" s="6" t="e">
        <f t="shared" si="4"/>
        <v>#N/A</v>
      </c>
      <c r="Q10" s="3">
        <f t="shared" si="5"/>
        <v>1</v>
      </c>
      <c r="R10" s="3">
        <f>IF($A10="","",IF(OR(P2_Input!H10="Yes",P2_Input!I10="Yes"),1,0))</f>
        <v>0</v>
      </c>
      <c r="S10" s="6" t="e">
        <f t="shared" si="6"/>
        <v>#N/A</v>
      </c>
      <c r="T10" s="3" t="e">
        <f t="shared" si="7"/>
        <v>#N/A</v>
      </c>
      <c r="U10" s="3" t="e">
        <f t="shared" si="8"/>
        <v>#N/A</v>
      </c>
      <c r="V10">
        <f>P2_Input!L10</f>
        <v>0</v>
      </c>
      <c r="W10">
        <f>P2_Input!M10</f>
        <v>0</v>
      </c>
      <c r="X10" t="e">
        <f t="shared" si="9"/>
        <v>#N/A</v>
      </c>
      <c r="Y10" t="e">
        <f>IF(OR($A10="",$W10=""),"",((P2_Input!N10*INDEX(Config_Weight!$B$2:$B$5,MATCH($W10,Config_Weight!$A$2:$A$5,0))/100)+(P2_Input!O10*INDEX(Config_Weight!$C$2:$C$5,MATCH($W10,Config_Weight!$A$2:$A$5,0))/100))/((INDEX(Config_Weight!$B$2:$B$5,MATCH($W10,Config_Weight!$A$2:$A$5,0))+INDEX(Config_Weight!$C$2:$C$5,MATCH($W10,Config_Weight!$A$2:$A$5,0)))/100))</f>
        <v>#N/A</v>
      </c>
    </row>
    <row r="11" spans="1:25" x14ac:dyDescent="0.3">
      <c r="A11" s="3">
        <f>P2_Input!A11</f>
        <v>0</v>
      </c>
      <c r="B11" s="2">
        <f>P2_Input!B11</f>
        <v>0</v>
      </c>
      <c r="C11" s="3">
        <f>P2_Input!C11</f>
        <v>0</v>
      </c>
      <c r="D11" s="3">
        <f>P2_Input!D11</f>
        <v>0</v>
      </c>
      <c r="E11" s="3">
        <f>P2_Input!E11</f>
        <v>0</v>
      </c>
      <c r="F11" s="3">
        <f>P2_Input!F11</f>
        <v>0</v>
      </c>
      <c r="G11" s="3">
        <f>P2_Input!G11</f>
        <v>0</v>
      </c>
      <c r="H11" s="3" t="e">
        <f>IF($V11="","",INDEX(Config_Weight!$B$2:$B$5,MATCH($V11,Config_Weight!$A$2:$A$5,0)))</f>
        <v>#N/A</v>
      </c>
      <c r="I11" s="3" t="e">
        <f>IF($V11="","",INDEX(Config_Weight!$C$2:$C$5,MATCH($V11,Config_Weight!$A$2:$A$5,0)))</f>
        <v>#N/A</v>
      </c>
      <c r="J11" s="3" t="e">
        <f>IF($V11="","",INDEX(Config_Weight!$D$2:$D$5,MATCH($V11,Config_Weight!$A$2:$A$5,0)))</f>
        <v>#N/A</v>
      </c>
      <c r="K11" s="3" t="e">
        <f>IF($V11="","",INDEX(Config_Weight!$E$2:$E$5,MATCH($V11,Config_Weight!$A$2:$A$5,0)))</f>
        <v>#N/A</v>
      </c>
      <c r="L11" s="6" t="e">
        <f t="shared" si="0"/>
        <v>#N/A</v>
      </c>
      <c r="M11" s="6" t="e">
        <f t="shared" si="1"/>
        <v>#N/A</v>
      </c>
      <c r="N11" s="6" t="e">
        <f t="shared" si="2"/>
        <v>#N/A</v>
      </c>
      <c r="O11" s="6" t="e">
        <f t="shared" si="3"/>
        <v>#N/A</v>
      </c>
      <c r="P11" s="6" t="e">
        <f t="shared" si="4"/>
        <v>#N/A</v>
      </c>
      <c r="Q11" s="3">
        <f t="shared" si="5"/>
        <v>1</v>
      </c>
      <c r="R11" s="3">
        <f>IF($A11="","",IF(OR(P2_Input!H11="Yes",P2_Input!I11="Yes"),1,0))</f>
        <v>0</v>
      </c>
      <c r="S11" s="6" t="e">
        <f t="shared" si="6"/>
        <v>#N/A</v>
      </c>
      <c r="T11" s="3" t="e">
        <f t="shared" si="7"/>
        <v>#N/A</v>
      </c>
      <c r="U11" s="3" t="e">
        <f t="shared" si="8"/>
        <v>#N/A</v>
      </c>
      <c r="V11">
        <f>P2_Input!L11</f>
        <v>0</v>
      </c>
      <c r="W11">
        <f>P2_Input!M11</f>
        <v>0</v>
      </c>
      <c r="X11" t="e">
        <f t="shared" si="9"/>
        <v>#N/A</v>
      </c>
      <c r="Y11" t="e">
        <f>IF(OR($A11="",$W11=""),"",((P2_Input!N11*INDEX(Config_Weight!$B$2:$B$5,MATCH($W11,Config_Weight!$A$2:$A$5,0))/100)+(P2_Input!O11*INDEX(Config_Weight!$C$2:$C$5,MATCH($W11,Config_Weight!$A$2:$A$5,0))/100))/((INDEX(Config_Weight!$B$2:$B$5,MATCH($W11,Config_Weight!$A$2:$A$5,0))+INDEX(Config_Weight!$C$2:$C$5,MATCH($W11,Config_Weight!$A$2:$A$5,0)))/100))</f>
        <v>#N/A</v>
      </c>
    </row>
    <row r="12" spans="1:25" x14ac:dyDescent="0.3">
      <c r="A12" s="3">
        <f>P2_Input!A12</f>
        <v>0</v>
      </c>
      <c r="B12" s="2">
        <f>P2_Input!B12</f>
        <v>0</v>
      </c>
      <c r="C12" s="3">
        <f>P2_Input!C12</f>
        <v>0</v>
      </c>
      <c r="D12" s="3">
        <f>P2_Input!D12</f>
        <v>0</v>
      </c>
      <c r="E12" s="3">
        <f>P2_Input!E12</f>
        <v>0</v>
      </c>
      <c r="F12" s="3">
        <f>P2_Input!F12</f>
        <v>0</v>
      </c>
      <c r="G12" s="3">
        <f>P2_Input!G12</f>
        <v>0</v>
      </c>
      <c r="H12" s="3" t="e">
        <f>IF($V12="","",INDEX(Config_Weight!$B$2:$B$5,MATCH($V12,Config_Weight!$A$2:$A$5,0)))</f>
        <v>#N/A</v>
      </c>
      <c r="I12" s="3" t="e">
        <f>IF($V12="","",INDEX(Config_Weight!$C$2:$C$5,MATCH($V12,Config_Weight!$A$2:$A$5,0)))</f>
        <v>#N/A</v>
      </c>
      <c r="J12" s="3" t="e">
        <f>IF($V12="","",INDEX(Config_Weight!$D$2:$D$5,MATCH($V12,Config_Weight!$A$2:$A$5,0)))</f>
        <v>#N/A</v>
      </c>
      <c r="K12" s="3" t="e">
        <f>IF($V12="","",INDEX(Config_Weight!$E$2:$E$5,MATCH($V12,Config_Weight!$A$2:$A$5,0)))</f>
        <v>#N/A</v>
      </c>
      <c r="L12" s="6" t="e">
        <f t="shared" si="0"/>
        <v>#N/A</v>
      </c>
      <c r="M12" s="6" t="e">
        <f t="shared" si="1"/>
        <v>#N/A</v>
      </c>
      <c r="N12" s="6" t="e">
        <f t="shared" si="2"/>
        <v>#N/A</v>
      </c>
      <c r="O12" s="6" t="e">
        <f t="shared" si="3"/>
        <v>#N/A</v>
      </c>
      <c r="P12" s="6" t="e">
        <f t="shared" si="4"/>
        <v>#N/A</v>
      </c>
      <c r="Q12" s="3">
        <f t="shared" si="5"/>
        <v>1</v>
      </c>
      <c r="R12" s="3">
        <f>IF($A12="","",IF(OR(P2_Input!H12="Yes",P2_Input!I12="Yes"),1,0))</f>
        <v>0</v>
      </c>
      <c r="S12" s="6" t="e">
        <f t="shared" si="6"/>
        <v>#N/A</v>
      </c>
      <c r="T12" s="3" t="e">
        <f t="shared" si="7"/>
        <v>#N/A</v>
      </c>
      <c r="U12" s="3" t="e">
        <f t="shared" si="8"/>
        <v>#N/A</v>
      </c>
      <c r="V12">
        <f>P2_Input!L12</f>
        <v>0</v>
      </c>
      <c r="W12">
        <f>P2_Input!M12</f>
        <v>0</v>
      </c>
      <c r="X12" t="e">
        <f t="shared" si="9"/>
        <v>#N/A</v>
      </c>
      <c r="Y12" t="e">
        <f>IF(OR($A12="",$W12=""),"",((P2_Input!N12*INDEX(Config_Weight!$B$2:$B$5,MATCH($W12,Config_Weight!$A$2:$A$5,0))/100)+(P2_Input!O12*INDEX(Config_Weight!$C$2:$C$5,MATCH($W12,Config_Weight!$A$2:$A$5,0))/100))/((INDEX(Config_Weight!$B$2:$B$5,MATCH($W12,Config_Weight!$A$2:$A$5,0))+INDEX(Config_Weight!$C$2:$C$5,MATCH($W12,Config_Weight!$A$2:$A$5,0)))/100))</f>
        <v>#N/A</v>
      </c>
    </row>
    <row r="13" spans="1:25" x14ac:dyDescent="0.3">
      <c r="A13" s="3">
        <f>P2_Input!A13</f>
        <v>0</v>
      </c>
      <c r="B13" s="2">
        <f>P2_Input!B13</f>
        <v>0</v>
      </c>
      <c r="C13" s="3">
        <f>P2_Input!C13</f>
        <v>0</v>
      </c>
      <c r="D13" s="3">
        <f>P2_Input!D13</f>
        <v>0</v>
      </c>
      <c r="E13" s="3">
        <f>P2_Input!E13</f>
        <v>0</v>
      </c>
      <c r="F13" s="3">
        <f>P2_Input!F13</f>
        <v>0</v>
      </c>
      <c r="G13" s="3">
        <f>P2_Input!G13</f>
        <v>0</v>
      </c>
      <c r="H13" s="3" t="e">
        <f>IF($V13="","",INDEX(Config_Weight!$B$2:$B$5,MATCH($V13,Config_Weight!$A$2:$A$5,0)))</f>
        <v>#N/A</v>
      </c>
      <c r="I13" s="3" t="e">
        <f>IF($V13="","",INDEX(Config_Weight!$C$2:$C$5,MATCH($V13,Config_Weight!$A$2:$A$5,0)))</f>
        <v>#N/A</v>
      </c>
      <c r="J13" s="3" t="e">
        <f>IF($V13="","",INDEX(Config_Weight!$D$2:$D$5,MATCH($V13,Config_Weight!$A$2:$A$5,0)))</f>
        <v>#N/A</v>
      </c>
      <c r="K13" s="3" t="e">
        <f>IF($V13="","",INDEX(Config_Weight!$E$2:$E$5,MATCH($V13,Config_Weight!$A$2:$A$5,0)))</f>
        <v>#N/A</v>
      </c>
      <c r="L13" s="6" t="e">
        <f t="shared" si="0"/>
        <v>#N/A</v>
      </c>
      <c r="M13" s="6" t="e">
        <f t="shared" si="1"/>
        <v>#N/A</v>
      </c>
      <c r="N13" s="6" t="e">
        <f t="shared" si="2"/>
        <v>#N/A</v>
      </c>
      <c r="O13" s="6" t="e">
        <f t="shared" si="3"/>
        <v>#N/A</v>
      </c>
      <c r="P13" s="6" t="e">
        <f t="shared" si="4"/>
        <v>#N/A</v>
      </c>
      <c r="Q13" s="3">
        <f t="shared" si="5"/>
        <v>1</v>
      </c>
      <c r="R13" s="3">
        <f>IF($A13="","",IF(OR(P2_Input!H13="Yes",P2_Input!I13="Yes"),1,0))</f>
        <v>0</v>
      </c>
      <c r="S13" s="6" t="e">
        <f t="shared" si="6"/>
        <v>#N/A</v>
      </c>
      <c r="T13" s="3" t="e">
        <f t="shared" si="7"/>
        <v>#N/A</v>
      </c>
      <c r="U13" s="3" t="e">
        <f t="shared" si="8"/>
        <v>#N/A</v>
      </c>
      <c r="V13">
        <f>P2_Input!L13</f>
        <v>0</v>
      </c>
      <c r="W13">
        <f>P2_Input!M13</f>
        <v>0</v>
      </c>
      <c r="X13" t="e">
        <f t="shared" si="9"/>
        <v>#N/A</v>
      </c>
      <c r="Y13" t="e">
        <f>IF(OR($A13="",$W13=""),"",((P2_Input!N13*INDEX(Config_Weight!$B$2:$B$5,MATCH($W13,Config_Weight!$A$2:$A$5,0))/100)+(P2_Input!O13*INDEX(Config_Weight!$C$2:$C$5,MATCH($W13,Config_Weight!$A$2:$A$5,0))/100))/((INDEX(Config_Weight!$B$2:$B$5,MATCH($W13,Config_Weight!$A$2:$A$5,0))+INDEX(Config_Weight!$C$2:$C$5,MATCH($W13,Config_Weight!$A$2:$A$5,0)))/100))</f>
        <v>#N/A</v>
      </c>
    </row>
    <row r="14" spans="1:25" x14ac:dyDescent="0.3">
      <c r="A14" s="3">
        <f>P2_Input!A14</f>
        <v>0</v>
      </c>
      <c r="B14" s="2">
        <f>P2_Input!B14</f>
        <v>0</v>
      </c>
      <c r="C14" s="3">
        <f>P2_Input!C14</f>
        <v>0</v>
      </c>
      <c r="D14" s="3">
        <f>P2_Input!D14</f>
        <v>0</v>
      </c>
      <c r="E14" s="3">
        <f>P2_Input!E14</f>
        <v>0</v>
      </c>
      <c r="F14" s="3">
        <f>P2_Input!F14</f>
        <v>0</v>
      </c>
      <c r="G14" s="3">
        <f>P2_Input!G14</f>
        <v>0</v>
      </c>
      <c r="H14" s="3" t="e">
        <f>IF($V14="","",INDEX(Config_Weight!$B$2:$B$5,MATCH($V14,Config_Weight!$A$2:$A$5,0)))</f>
        <v>#N/A</v>
      </c>
      <c r="I14" s="3" t="e">
        <f>IF($V14="","",INDEX(Config_Weight!$C$2:$C$5,MATCH($V14,Config_Weight!$A$2:$A$5,0)))</f>
        <v>#N/A</v>
      </c>
      <c r="J14" s="3" t="e">
        <f>IF($V14="","",INDEX(Config_Weight!$D$2:$D$5,MATCH($V14,Config_Weight!$A$2:$A$5,0)))</f>
        <v>#N/A</v>
      </c>
      <c r="K14" s="3" t="e">
        <f>IF($V14="","",INDEX(Config_Weight!$E$2:$E$5,MATCH($V14,Config_Weight!$A$2:$A$5,0)))</f>
        <v>#N/A</v>
      </c>
      <c r="L14" s="6" t="e">
        <f t="shared" si="0"/>
        <v>#N/A</v>
      </c>
      <c r="M14" s="6" t="e">
        <f t="shared" si="1"/>
        <v>#N/A</v>
      </c>
      <c r="N14" s="6" t="e">
        <f t="shared" si="2"/>
        <v>#N/A</v>
      </c>
      <c r="O14" s="6" t="e">
        <f t="shared" si="3"/>
        <v>#N/A</v>
      </c>
      <c r="P14" s="6" t="e">
        <f t="shared" si="4"/>
        <v>#N/A</v>
      </c>
      <c r="Q14" s="3">
        <f t="shared" si="5"/>
        <v>1</v>
      </c>
      <c r="R14" s="3">
        <f>IF($A14="","",IF(OR(P2_Input!H14="Yes",P2_Input!I14="Yes"),1,0))</f>
        <v>0</v>
      </c>
      <c r="S14" s="6" t="e">
        <f t="shared" si="6"/>
        <v>#N/A</v>
      </c>
      <c r="T14" s="3" t="e">
        <f t="shared" si="7"/>
        <v>#N/A</v>
      </c>
      <c r="U14" s="3" t="e">
        <f t="shared" si="8"/>
        <v>#N/A</v>
      </c>
      <c r="V14">
        <f>P2_Input!L14</f>
        <v>0</v>
      </c>
      <c r="W14">
        <f>P2_Input!M14</f>
        <v>0</v>
      </c>
      <c r="X14" t="e">
        <f t="shared" si="9"/>
        <v>#N/A</v>
      </c>
      <c r="Y14" t="e">
        <f>IF(OR($A14="",$W14=""),"",((P2_Input!N14*INDEX(Config_Weight!$B$2:$B$5,MATCH($W14,Config_Weight!$A$2:$A$5,0))/100)+(P2_Input!O14*INDEX(Config_Weight!$C$2:$C$5,MATCH($W14,Config_Weight!$A$2:$A$5,0))/100))/((INDEX(Config_Weight!$B$2:$B$5,MATCH($W14,Config_Weight!$A$2:$A$5,0))+INDEX(Config_Weight!$C$2:$C$5,MATCH($W14,Config_Weight!$A$2:$A$5,0)))/100))</f>
        <v>#N/A</v>
      </c>
    </row>
    <row r="15" spans="1:25" x14ac:dyDescent="0.3">
      <c r="A15" s="3">
        <f>P2_Input!A15</f>
        <v>0</v>
      </c>
      <c r="B15" s="2">
        <f>P2_Input!B15</f>
        <v>0</v>
      </c>
      <c r="C15" s="3">
        <f>P2_Input!C15</f>
        <v>0</v>
      </c>
      <c r="D15" s="3">
        <f>P2_Input!D15</f>
        <v>0</v>
      </c>
      <c r="E15" s="3">
        <f>P2_Input!E15</f>
        <v>0</v>
      </c>
      <c r="F15" s="3">
        <f>P2_Input!F15</f>
        <v>0</v>
      </c>
      <c r="G15" s="3">
        <f>P2_Input!G15</f>
        <v>0</v>
      </c>
      <c r="H15" s="3" t="e">
        <f>IF($V15="","",INDEX(Config_Weight!$B$2:$B$5,MATCH($V15,Config_Weight!$A$2:$A$5,0)))</f>
        <v>#N/A</v>
      </c>
      <c r="I15" s="3" t="e">
        <f>IF($V15="","",INDEX(Config_Weight!$C$2:$C$5,MATCH($V15,Config_Weight!$A$2:$A$5,0)))</f>
        <v>#N/A</v>
      </c>
      <c r="J15" s="3" t="e">
        <f>IF($V15="","",INDEX(Config_Weight!$D$2:$D$5,MATCH($V15,Config_Weight!$A$2:$A$5,0)))</f>
        <v>#N/A</v>
      </c>
      <c r="K15" s="3" t="e">
        <f>IF($V15="","",INDEX(Config_Weight!$E$2:$E$5,MATCH($V15,Config_Weight!$A$2:$A$5,0)))</f>
        <v>#N/A</v>
      </c>
      <c r="L15" s="6" t="e">
        <f t="shared" si="0"/>
        <v>#N/A</v>
      </c>
      <c r="M15" s="6" t="e">
        <f t="shared" si="1"/>
        <v>#N/A</v>
      </c>
      <c r="N15" s="6" t="e">
        <f t="shared" si="2"/>
        <v>#N/A</v>
      </c>
      <c r="O15" s="6" t="e">
        <f t="shared" si="3"/>
        <v>#N/A</v>
      </c>
      <c r="P15" s="6" t="e">
        <f t="shared" si="4"/>
        <v>#N/A</v>
      </c>
      <c r="Q15" s="3">
        <f t="shared" si="5"/>
        <v>1</v>
      </c>
      <c r="R15" s="3">
        <f>IF($A15="","",IF(OR(P2_Input!H15="Yes",P2_Input!I15="Yes"),1,0))</f>
        <v>0</v>
      </c>
      <c r="S15" s="6" t="e">
        <f t="shared" si="6"/>
        <v>#N/A</v>
      </c>
      <c r="T15" s="3" t="e">
        <f t="shared" si="7"/>
        <v>#N/A</v>
      </c>
      <c r="U15" s="3" t="e">
        <f t="shared" si="8"/>
        <v>#N/A</v>
      </c>
      <c r="V15">
        <f>P2_Input!L15</f>
        <v>0</v>
      </c>
      <c r="W15">
        <f>P2_Input!M15</f>
        <v>0</v>
      </c>
      <c r="X15" t="e">
        <f t="shared" si="9"/>
        <v>#N/A</v>
      </c>
      <c r="Y15" t="e">
        <f>IF(OR($A15="",$W15=""),"",((P2_Input!N15*INDEX(Config_Weight!$B$2:$B$5,MATCH($W15,Config_Weight!$A$2:$A$5,0))/100)+(P2_Input!O15*INDEX(Config_Weight!$C$2:$C$5,MATCH($W15,Config_Weight!$A$2:$A$5,0))/100))/((INDEX(Config_Weight!$B$2:$B$5,MATCH($W15,Config_Weight!$A$2:$A$5,0))+INDEX(Config_Weight!$C$2:$C$5,MATCH($W15,Config_Weight!$A$2:$A$5,0)))/100))</f>
        <v>#N/A</v>
      </c>
    </row>
    <row r="16" spans="1:25" x14ac:dyDescent="0.3">
      <c r="A16" s="3">
        <f>P2_Input!A16</f>
        <v>0</v>
      </c>
      <c r="B16" s="2">
        <f>P2_Input!B16</f>
        <v>0</v>
      </c>
      <c r="C16" s="3">
        <f>P2_Input!C16</f>
        <v>0</v>
      </c>
      <c r="D16" s="3">
        <f>P2_Input!D16</f>
        <v>0</v>
      </c>
      <c r="E16" s="3">
        <f>P2_Input!E16</f>
        <v>0</v>
      </c>
      <c r="F16" s="3">
        <f>P2_Input!F16</f>
        <v>0</v>
      </c>
      <c r="G16" s="3">
        <f>P2_Input!G16</f>
        <v>0</v>
      </c>
      <c r="H16" s="3" t="e">
        <f>IF($V16="","",INDEX(Config_Weight!$B$2:$B$5,MATCH($V16,Config_Weight!$A$2:$A$5,0)))</f>
        <v>#N/A</v>
      </c>
      <c r="I16" s="3" t="e">
        <f>IF($V16="","",INDEX(Config_Weight!$C$2:$C$5,MATCH($V16,Config_Weight!$A$2:$A$5,0)))</f>
        <v>#N/A</v>
      </c>
      <c r="J16" s="3" t="e">
        <f>IF($V16="","",INDEX(Config_Weight!$D$2:$D$5,MATCH($V16,Config_Weight!$A$2:$A$5,0)))</f>
        <v>#N/A</v>
      </c>
      <c r="K16" s="3" t="e">
        <f>IF($V16="","",INDEX(Config_Weight!$E$2:$E$5,MATCH($V16,Config_Weight!$A$2:$A$5,0)))</f>
        <v>#N/A</v>
      </c>
      <c r="L16" s="6" t="e">
        <f t="shared" si="0"/>
        <v>#N/A</v>
      </c>
      <c r="M16" s="6" t="e">
        <f t="shared" si="1"/>
        <v>#N/A</v>
      </c>
      <c r="N16" s="6" t="e">
        <f t="shared" si="2"/>
        <v>#N/A</v>
      </c>
      <c r="O16" s="6" t="e">
        <f t="shared" si="3"/>
        <v>#N/A</v>
      </c>
      <c r="P16" s="6" t="e">
        <f t="shared" si="4"/>
        <v>#N/A</v>
      </c>
      <c r="Q16" s="3">
        <f t="shared" si="5"/>
        <v>1</v>
      </c>
      <c r="R16" s="3">
        <f>IF($A16="","",IF(OR(P2_Input!H16="Yes",P2_Input!I16="Yes"),1,0))</f>
        <v>0</v>
      </c>
      <c r="S16" s="6" t="e">
        <f t="shared" si="6"/>
        <v>#N/A</v>
      </c>
      <c r="T16" s="3" t="e">
        <f t="shared" si="7"/>
        <v>#N/A</v>
      </c>
      <c r="U16" s="3" t="e">
        <f t="shared" si="8"/>
        <v>#N/A</v>
      </c>
      <c r="V16">
        <f>P2_Input!L16</f>
        <v>0</v>
      </c>
      <c r="W16">
        <f>P2_Input!M16</f>
        <v>0</v>
      </c>
      <c r="X16" t="e">
        <f t="shared" si="9"/>
        <v>#N/A</v>
      </c>
      <c r="Y16" t="e">
        <f>IF(OR($A16="",$W16=""),"",((P2_Input!N16*INDEX(Config_Weight!$B$2:$B$5,MATCH($W16,Config_Weight!$A$2:$A$5,0))/100)+(P2_Input!O16*INDEX(Config_Weight!$C$2:$C$5,MATCH($W16,Config_Weight!$A$2:$A$5,0))/100))/((INDEX(Config_Weight!$B$2:$B$5,MATCH($W16,Config_Weight!$A$2:$A$5,0))+INDEX(Config_Weight!$C$2:$C$5,MATCH($W16,Config_Weight!$A$2:$A$5,0)))/100))</f>
        <v>#N/A</v>
      </c>
    </row>
    <row r="17" spans="1:25" x14ac:dyDescent="0.3">
      <c r="A17" s="3">
        <f>P2_Input!A17</f>
        <v>0</v>
      </c>
      <c r="B17" s="2">
        <f>P2_Input!B17</f>
        <v>0</v>
      </c>
      <c r="C17" s="3">
        <f>P2_Input!C17</f>
        <v>0</v>
      </c>
      <c r="D17" s="3">
        <f>P2_Input!D17</f>
        <v>0</v>
      </c>
      <c r="E17" s="3">
        <f>P2_Input!E17</f>
        <v>0</v>
      </c>
      <c r="F17" s="3">
        <f>P2_Input!F17</f>
        <v>0</v>
      </c>
      <c r="G17" s="3">
        <f>P2_Input!G17</f>
        <v>0</v>
      </c>
      <c r="H17" s="3" t="e">
        <f>IF($V17="","",INDEX(Config_Weight!$B$2:$B$5,MATCH($V17,Config_Weight!$A$2:$A$5,0)))</f>
        <v>#N/A</v>
      </c>
      <c r="I17" s="3" t="e">
        <f>IF($V17="","",INDEX(Config_Weight!$C$2:$C$5,MATCH($V17,Config_Weight!$A$2:$A$5,0)))</f>
        <v>#N/A</v>
      </c>
      <c r="J17" s="3" t="e">
        <f>IF($V17="","",INDEX(Config_Weight!$D$2:$D$5,MATCH($V17,Config_Weight!$A$2:$A$5,0)))</f>
        <v>#N/A</v>
      </c>
      <c r="K17" s="3" t="e">
        <f>IF($V17="","",INDEX(Config_Weight!$E$2:$E$5,MATCH($V17,Config_Weight!$A$2:$A$5,0)))</f>
        <v>#N/A</v>
      </c>
      <c r="L17" s="6" t="e">
        <f t="shared" si="0"/>
        <v>#N/A</v>
      </c>
      <c r="M17" s="6" t="e">
        <f t="shared" si="1"/>
        <v>#N/A</v>
      </c>
      <c r="N17" s="6" t="e">
        <f t="shared" si="2"/>
        <v>#N/A</v>
      </c>
      <c r="O17" s="6" t="e">
        <f t="shared" si="3"/>
        <v>#N/A</v>
      </c>
      <c r="P17" s="6" t="e">
        <f t="shared" si="4"/>
        <v>#N/A</v>
      </c>
      <c r="Q17" s="3">
        <f t="shared" si="5"/>
        <v>1</v>
      </c>
      <c r="R17" s="3">
        <f>IF($A17="","",IF(OR(P2_Input!H17="Yes",P2_Input!I17="Yes"),1,0))</f>
        <v>0</v>
      </c>
      <c r="S17" s="6" t="e">
        <f t="shared" si="6"/>
        <v>#N/A</v>
      </c>
      <c r="T17" s="3" t="e">
        <f t="shared" si="7"/>
        <v>#N/A</v>
      </c>
      <c r="U17" s="3" t="e">
        <f t="shared" si="8"/>
        <v>#N/A</v>
      </c>
      <c r="V17">
        <f>P2_Input!L17</f>
        <v>0</v>
      </c>
      <c r="W17">
        <f>P2_Input!M17</f>
        <v>0</v>
      </c>
      <c r="X17" t="e">
        <f t="shared" si="9"/>
        <v>#N/A</v>
      </c>
      <c r="Y17" t="e">
        <f>IF(OR($A17="",$W17=""),"",((P2_Input!N17*INDEX(Config_Weight!$B$2:$B$5,MATCH($W17,Config_Weight!$A$2:$A$5,0))/100)+(P2_Input!O17*INDEX(Config_Weight!$C$2:$C$5,MATCH($W17,Config_Weight!$A$2:$A$5,0))/100))/((INDEX(Config_Weight!$B$2:$B$5,MATCH($W17,Config_Weight!$A$2:$A$5,0))+INDEX(Config_Weight!$C$2:$C$5,MATCH($W17,Config_Weight!$A$2:$A$5,0)))/100))</f>
        <v>#N/A</v>
      </c>
    </row>
    <row r="18" spans="1:25" x14ac:dyDescent="0.3">
      <c r="A18" s="3">
        <f>P2_Input!A18</f>
        <v>0</v>
      </c>
      <c r="B18" s="2">
        <f>P2_Input!B18</f>
        <v>0</v>
      </c>
      <c r="C18" s="3">
        <f>P2_Input!C18</f>
        <v>0</v>
      </c>
      <c r="D18" s="3">
        <f>P2_Input!D18</f>
        <v>0</v>
      </c>
      <c r="E18" s="3">
        <f>P2_Input!E18</f>
        <v>0</v>
      </c>
      <c r="F18" s="3">
        <f>P2_Input!F18</f>
        <v>0</v>
      </c>
      <c r="G18" s="3">
        <f>P2_Input!G18</f>
        <v>0</v>
      </c>
      <c r="H18" s="3" t="e">
        <f>IF($V18="","",INDEX(Config_Weight!$B$2:$B$5,MATCH($V18,Config_Weight!$A$2:$A$5,0)))</f>
        <v>#N/A</v>
      </c>
      <c r="I18" s="3" t="e">
        <f>IF($V18="","",INDEX(Config_Weight!$C$2:$C$5,MATCH($V18,Config_Weight!$A$2:$A$5,0)))</f>
        <v>#N/A</v>
      </c>
      <c r="J18" s="3" t="e">
        <f>IF($V18="","",INDEX(Config_Weight!$D$2:$D$5,MATCH($V18,Config_Weight!$A$2:$A$5,0)))</f>
        <v>#N/A</v>
      </c>
      <c r="K18" s="3" t="e">
        <f>IF($V18="","",INDEX(Config_Weight!$E$2:$E$5,MATCH($V18,Config_Weight!$A$2:$A$5,0)))</f>
        <v>#N/A</v>
      </c>
      <c r="L18" s="6" t="e">
        <f t="shared" si="0"/>
        <v>#N/A</v>
      </c>
      <c r="M18" s="6" t="e">
        <f t="shared" si="1"/>
        <v>#N/A</v>
      </c>
      <c r="N18" s="6" t="e">
        <f t="shared" si="2"/>
        <v>#N/A</v>
      </c>
      <c r="O18" s="6" t="e">
        <f t="shared" si="3"/>
        <v>#N/A</v>
      </c>
      <c r="P18" s="6" t="e">
        <f t="shared" si="4"/>
        <v>#N/A</v>
      </c>
      <c r="Q18" s="3">
        <f t="shared" si="5"/>
        <v>1</v>
      </c>
      <c r="R18" s="3">
        <f>IF($A18="","",IF(OR(P2_Input!H18="Yes",P2_Input!I18="Yes"),1,0))</f>
        <v>0</v>
      </c>
      <c r="S18" s="6" t="e">
        <f t="shared" si="6"/>
        <v>#N/A</v>
      </c>
      <c r="T18" s="3" t="e">
        <f t="shared" si="7"/>
        <v>#N/A</v>
      </c>
      <c r="U18" s="3" t="e">
        <f t="shared" si="8"/>
        <v>#N/A</v>
      </c>
      <c r="V18">
        <f>P2_Input!L18</f>
        <v>0</v>
      </c>
      <c r="W18">
        <f>P2_Input!M18</f>
        <v>0</v>
      </c>
      <c r="X18" t="e">
        <f t="shared" si="9"/>
        <v>#N/A</v>
      </c>
      <c r="Y18" t="e">
        <f>IF(OR($A18="",$W18=""),"",((P2_Input!N18*INDEX(Config_Weight!$B$2:$B$5,MATCH($W18,Config_Weight!$A$2:$A$5,0))/100)+(P2_Input!O18*INDEX(Config_Weight!$C$2:$C$5,MATCH($W18,Config_Weight!$A$2:$A$5,0))/100))/((INDEX(Config_Weight!$B$2:$B$5,MATCH($W18,Config_Weight!$A$2:$A$5,0))+INDEX(Config_Weight!$C$2:$C$5,MATCH($W18,Config_Weight!$A$2:$A$5,0)))/100))</f>
        <v>#N/A</v>
      </c>
    </row>
    <row r="19" spans="1:25" x14ac:dyDescent="0.3">
      <c r="A19" s="3">
        <f>P2_Input!A19</f>
        <v>0</v>
      </c>
      <c r="B19" s="2">
        <f>P2_Input!B19</f>
        <v>0</v>
      </c>
      <c r="C19" s="3">
        <f>P2_Input!C19</f>
        <v>0</v>
      </c>
      <c r="D19" s="3">
        <f>P2_Input!D19</f>
        <v>0</v>
      </c>
      <c r="E19" s="3">
        <f>P2_Input!E19</f>
        <v>0</v>
      </c>
      <c r="F19" s="3">
        <f>P2_Input!F19</f>
        <v>0</v>
      </c>
      <c r="G19" s="3">
        <f>P2_Input!G19</f>
        <v>0</v>
      </c>
      <c r="H19" s="3" t="e">
        <f>IF($V19="","",INDEX(Config_Weight!$B$2:$B$5,MATCH($V19,Config_Weight!$A$2:$A$5,0)))</f>
        <v>#N/A</v>
      </c>
      <c r="I19" s="3" t="e">
        <f>IF($V19="","",INDEX(Config_Weight!$C$2:$C$5,MATCH($V19,Config_Weight!$A$2:$A$5,0)))</f>
        <v>#N/A</v>
      </c>
      <c r="J19" s="3" t="e">
        <f>IF($V19="","",INDEX(Config_Weight!$D$2:$D$5,MATCH($V19,Config_Weight!$A$2:$A$5,0)))</f>
        <v>#N/A</v>
      </c>
      <c r="K19" s="3" t="e">
        <f>IF($V19="","",INDEX(Config_Weight!$E$2:$E$5,MATCH($V19,Config_Weight!$A$2:$A$5,0)))</f>
        <v>#N/A</v>
      </c>
      <c r="L19" s="6" t="e">
        <f t="shared" si="0"/>
        <v>#N/A</v>
      </c>
      <c r="M19" s="6" t="e">
        <f t="shared" si="1"/>
        <v>#N/A</v>
      </c>
      <c r="N19" s="6" t="e">
        <f t="shared" si="2"/>
        <v>#N/A</v>
      </c>
      <c r="O19" s="6" t="e">
        <f t="shared" si="3"/>
        <v>#N/A</v>
      </c>
      <c r="P19" s="6" t="e">
        <f t="shared" si="4"/>
        <v>#N/A</v>
      </c>
      <c r="Q19" s="3">
        <f t="shared" si="5"/>
        <v>1</v>
      </c>
      <c r="R19" s="3">
        <f>IF($A19="","",IF(OR(P2_Input!H19="Yes",P2_Input!I19="Yes"),1,0))</f>
        <v>0</v>
      </c>
      <c r="S19" s="6" t="e">
        <f t="shared" si="6"/>
        <v>#N/A</v>
      </c>
      <c r="T19" s="3" t="e">
        <f t="shared" si="7"/>
        <v>#N/A</v>
      </c>
      <c r="U19" s="3" t="e">
        <f t="shared" si="8"/>
        <v>#N/A</v>
      </c>
      <c r="V19">
        <f>P2_Input!L19</f>
        <v>0</v>
      </c>
      <c r="W19">
        <f>P2_Input!M19</f>
        <v>0</v>
      </c>
      <c r="X19" t="e">
        <f t="shared" si="9"/>
        <v>#N/A</v>
      </c>
      <c r="Y19" t="e">
        <f>IF(OR($A19="",$W19=""),"",((P2_Input!N19*INDEX(Config_Weight!$B$2:$B$5,MATCH($W19,Config_Weight!$A$2:$A$5,0))/100)+(P2_Input!O19*INDEX(Config_Weight!$C$2:$C$5,MATCH($W19,Config_Weight!$A$2:$A$5,0))/100))/((INDEX(Config_Weight!$B$2:$B$5,MATCH($W19,Config_Weight!$A$2:$A$5,0))+INDEX(Config_Weight!$C$2:$C$5,MATCH($W19,Config_Weight!$A$2:$A$5,0)))/100))</f>
        <v>#N/A</v>
      </c>
    </row>
    <row r="20" spans="1:25" x14ac:dyDescent="0.3">
      <c r="A20" s="3">
        <f>P2_Input!A20</f>
        <v>0</v>
      </c>
      <c r="B20" s="2">
        <f>P2_Input!B20</f>
        <v>0</v>
      </c>
      <c r="C20" s="3">
        <f>P2_Input!C20</f>
        <v>0</v>
      </c>
      <c r="D20" s="3">
        <f>P2_Input!D20</f>
        <v>0</v>
      </c>
      <c r="E20" s="3">
        <f>P2_Input!E20</f>
        <v>0</v>
      </c>
      <c r="F20" s="3">
        <f>P2_Input!F20</f>
        <v>0</v>
      </c>
      <c r="G20" s="3">
        <f>P2_Input!G20</f>
        <v>0</v>
      </c>
      <c r="H20" s="3" t="e">
        <f>IF($V20="","",INDEX(Config_Weight!$B$2:$B$5,MATCH($V20,Config_Weight!$A$2:$A$5,0)))</f>
        <v>#N/A</v>
      </c>
      <c r="I20" s="3" t="e">
        <f>IF($V20="","",INDEX(Config_Weight!$C$2:$C$5,MATCH($V20,Config_Weight!$A$2:$A$5,0)))</f>
        <v>#N/A</v>
      </c>
      <c r="J20" s="3" t="e">
        <f>IF($V20="","",INDEX(Config_Weight!$D$2:$D$5,MATCH($V20,Config_Weight!$A$2:$A$5,0)))</f>
        <v>#N/A</v>
      </c>
      <c r="K20" s="3" t="e">
        <f>IF($V20="","",INDEX(Config_Weight!$E$2:$E$5,MATCH($V20,Config_Weight!$A$2:$A$5,0)))</f>
        <v>#N/A</v>
      </c>
      <c r="L20" s="6" t="e">
        <f t="shared" si="0"/>
        <v>#N/A</v>
      </c>
      <c r="M20" s="6" t="e">
        <f t="shared" si="1"/>
        <v>#N/A</v>
      </c>
      <c r="N20" s="6" t="e">
        <f t="shared" si="2"/>
        <v>#N/A</v>
      </c>
      <c r="O20" s="6" t="e">
        <f t="shared" si="3"/>
        <v>#N/A</v>
      </c>
      <c r="P20" s="6" t="e">
        <f t="shared" si="4"/>
        <v>#N/A</v>
      </c>
      <c r="Q20" s="3">
        <f t="shared" si="5"/>
        <v>1</v>
      </c>
      <c r="R20" s="3">
        <f>IF($A20="","",IF(OR(P2_Input!H20="Yes",P2_Input!I20="Yes"),1,0))</f>
        <v>0</v>
      </c>
      <c r="S20" s="6" t="e">
        <f t="shared" si="6"/>
        <v>#N/A</v>
      </c>
      <c r="T20" s="3" t="e">
        <f t="shared" si="7"/>
        <v>#N/A</v>
      </c>
      <c r="U20" s="3" t="e">
        <f t="shared" si="8"/>
        <v>#N/A</v>
      </c>
      <c r="V20">
        <f>P2_Input!L20</f>
        <v>0</v>
      </c>
      <c r="W20">
        <f>P2_Input!M20</f>
        <v>0</v>
      </c>
      <c r="X20" t="e">
        <f t="shared" si="9"/>
        <v>#N/A</v>
      </c>
      <c r="Y20" t="e">
        <f>IF(OR($A20="",$W20=""),"",((P2_Input!N20*INDEX(Config_Weight!$B$2:$B$5,MATCH($W20,Config_Weight!$A$2:$A$5,0))/100)+(P2_Input!O20*INDEX(Config_Weight!$C$2:$C$5,MATCH($W20,Config_Weight!$A$2:$A$5,0))/100))/((INDEX(Config_Weight!$B$2:$B$5,MATCH($W20,Config_Weight!$A$2:$A$5,0))+INDEX(Config_Weight!$C$2:$C$5,MATCH($W20,Config_Weight!$A$2:$A$5,0)))/100))</f>
        <v>#N/A</v>
      </c>
    </row>
    <row r="21" spans="1:25" x14ac:dyDescent="0.3">
      <c r="A21" s="3">
        <f>P2_Input!A21</f>
        <v>0</v>
      </c>
      <c r="B21" s="2">
        <f>P2_Input!B21</f>
        <v>0</v>
      </c>
      <c r="C21" s="3">
        <f>P2_Input!C21</f>
        <v>0</v>
      </c>
      <c r="D21" s="3">
        <f>P2_Input!D21</f>
        <v>0</v>
      </c>
      <c r="E21" s="3">
        <f>P2_Input!E21</f>
        <v>0</v>
      </c>
      <c r="F21" s="3">
        <f>P2_Input!F21</f>
        <v>0</v>
      </c>
      <c r="G21" s="3">
        <f>P2_Input!G21</f>
        <v>0</v>
      </c>
      <c r="H21" s="3" t="e">
        <f>IF($V21="","",INDEX(Config_Weight!$B$2:$B$5,MATCH($V21,Config_Weight!$A$2:$A$5,0)))</f>
        <v>#N/A</v>
      </c>
      <c r="I21" s="3" t="e">
        <f>IF($V21="","",INDEX(Config_Weight!$C$2:$C$5,MATCH($V21,Config_Weight!$A$2:$A$5,0)))</f>
        <v>#N/A</v>
      </c>
      <c r="J21" s="3" t="e">
        <f>IF($V21="","",INDEX(Config_Weight!$D$2:$D$5,MATCH($V21,Config_Weight!$A$2:$A$5,0)))</f>
        <v>#N/A</v>
      </c>
      <c r="K21" s="3" t="e">
        <f>IF($V21="","",INDEX(Config_Weight!$E$2:$E$5,MATCH($V21,Config_Weight!$A$2:$A$5,0)))</f>
        <v>#N/A</v>
      </c>
      <c r="L21" s="6" t="e">
        <f t="shared" si="0"/>
        <v>#N/A</v>
      </c>
      <c r="M21" s="6" t="e">
        <f t="shared" si="1"/>
        <v>#N/A</v>
      </c>
      <c r="N21" s="6" t="e">
        <f t="shared" si="2"/>
        <v>#N/A</v>
      </c>
      <c r="O21" s="6" t="e">
        <f t="shared" si="3"/>
        <v>#N/A</v>
      </c>
      <c r="P21" s="6" t="e">
        <f t="shared" si="4"/>
        <v>#N/A</v>
      </c>
      <c r="Q21" s="3">
        <f t="shared" si="5"/>
        <v>1</v>
      </c>
      <c r="R21" s="3">
        <f>IF($A21="","",IF(OR(P2_Input!H21="Yes",P2_Input!I21="Yes"),1,0))</f>
        <v>0</v>
      </c>
      <c r="S21" s="6" t="e">
        <f t="shared" si="6"/>
        <v>#N/A</v>
      </c>
      <c r="T21" s="3" t="e">
        <f t="shared" si="7"/>
        <v>#N/A</v>
      </c>
      <c r="U21" s="3" t="e">
        <f t="shared" si="8"/>
        <v>#N/A</v>
      </c>
      <c r="V21">
        <f>P2_Input!L21</f>
        <v>0</v>
      </c>
      <c r="W21">
        <f>P2_Input!M21</f>
        <v>0</v>
      </c>
      <c r="X21" t="e">
        <f t="shared" si="9"/>
        <v>#N/A</v>
      </c>
      <c r="Y21" t="e">
        <f>IF(OR($A21="",$W21=""),"",((P2_Input!N21*INDEX(Config_Weight!$B$2:$B$5,MATCH($W21,Config_Weight!$A$2:$A$5,0))/100)+(P2_Input!O21*INDEX(Config_Weight!$C$2:$C$5,MATCH($W21,Config_Weight!$A$2:$A$5,0))/100))/((INDEX(Config_Weight!$B$2:$B$5,MATCH($W21,Config_Weight!$A$2:$A$5,0))+INDEX(Config_Weight!$C$2:$C$5,MATCH($W21,Config_Weight!$A$2:$A$5,0)))/100))</f>
        <v>#N/A</v>
      </c>
    </row>
    <row r="22" spans="1:25" x14ac:dyDescent="0.3">
      <c r="A22" s="3">
        <f>P2_Input!A22</f>
        <v>0</v>
      </c>
      <c r="B22" s="2">
        <f>P2_Input!B22</f>
        <v>0</v>
      </c>
      <c r="C22" s="3">
        <f>P2_Input!C22</f>
        <v>0</v>
      </c>
      <c r="D22" s="3">
        <f>P2_Input!D22</f>
        <v>0</v>
      </c>
      <c r="E22" s="3">
        <f>P2_Input!E22</f>
        <v>0</v>
      </c>
      <c r="F22" s="3">
        <f>P2_Input!F22</f>
        <v>0</v>
      </c>
      <c r="G22" s="3">
        <f>P2_Input!G22</f>
        <v>0</v>
      </c>
      <c r="H22" s="3" t="e">
        <f>IF($V22="","",INDEX(Config_Weight!$B$2:$B$5,MATCH($V22,Config_Weight!$A$2:$A$5,0)))</f>
        <v>#N/A</v>
      </c>
      <c r="I22" s="3" t="e">
        <f>IF($V22="","",INDEX(Config_Weight!$C$2:$C$5,MATCH($V22,Config_Weight!$A$2:$A$5,0)))</f>
        <v>#N/A</v>
      </c>
      <c r="J22" s="3" t="e">
        <f>IF($V22="","",INDEX(Config_Weight!$D$2:$D$5,MATCH($V22,Config_Weight!$A$2:$A$5,0)))</f>
        <v>#N/A</v>
      </c>
      <c r="K22" s="3" t="e">
        <f>IF($V22="","",INDEX(Config_Weight!$E$2:$E$5,MATCH($V22,Config_Weight!$A$2:$A$5,0)))</f>
        <v>#N/A</v>
      </c>
      <c r="L22" s="6" t="e">
        <f t="shared" si="0"/>
        <v>#N/A</v>
      </c>
      <c r="M22" s="6" t="e">
        <f t="shared" si="1"/>
        <v>#N/A</v>
      </c>
      <c r="N22" s="6" t="e">
        <f t="shared" si="2"/>
        <v>#N/A</v>
      </c>
      <c r="O22" s="6" t="e">
        <f t="shared" si="3"/>
        <v>#N/A</v>
      </c>
      <c r="P22" s="6" t="e">
        <f t="shared" si="4"/>
        <v>#N/A</v>
      </c>
      <c r="Q22" s="3">
        <f t="shared" si="5"/>
        <v>1</v>
      </c>
      <c r="R22" s="3">
        <f>IF($A22="","",IF(OR(P2_Input!H22="Yes",P2_Input!I22="Yes"),1,0))</f>
        <v>0</v>
      </c>
      <c r="S22" s="6" t="e">
        <f t="shared" si="6"/>
        <v>#N/A</v>
      </c>
      <c r="T22" s="3" t="e">
        <f t="shared" si="7"/>
        <v>#N/A</v>
      </c>
      <c r="U22" s="3" t="e">
        <f t="shared" si="8"/>
        <v>#N/A</v>
      </c>
      <c r="V22">
        <f>P2_Input!L22</f>
        <v>0</v>
      </c>
      <c r="W22">
        <f>P2_Input!M22</f>
        <v>0</v>
      </c>
      <c r="X22" t="e">
        <f t="shared" si="9"/>
        <v>#N/A</v>
      </c>
      <c r="Y22" t="e">
        <f>IF(OR($A22="",$W22=""),"",((P2_Input!N22*INDEX(Config_Weight!$B$2:$B$5,MATCH($W22,Config_Weight!$A$2:$A$5,0))/100)+(P2_Input!O22*INDEX(Config_Weight!$C$2:$C$5,MATCH($W22,Config_Weight!$A$2:$A$5,0))/100))/((INDEX(Config_Weight!$B$2:$B$5,MATCH($W22,Config_Weight!$A$2:$A$5,0))+INDEX(Config_Weight!$C$2:$C$5,MATCH($W22,Config_Weight!$A$2:$A$5,0)))/100))</f>
        <v>#N/A</v>
      </c>
    </row>
    <row r="23" spans="1:25" x14ac:dyDescent="0.3">
      <c r="A23" s="3">
        <f>P2_Input!A23</f>
        <v>0</v>
      </c>
      <c r="B23" s="2">
        <f>P2_Input!B23</f>
        <v>0</v>
      </c>
      <c r="C23" s="3">
        <f>P2_Input!C23</f>
        <v>0</v>
      </c>
      <c r="D23" s="3">
        <f>P2_Input!D23</f>
        <v>0</v>
      </c>
      <c r="E23" s="3">
        <f>P2_Input!E23</f>
        <v>0</v>
      </c>
      <c r="F23" s="3">
        <f>P2_Input!F23</f>
        <v>0</v>
      </c>
      <c r="G23" s="3">
        <f>P2_Input!G23</f>
        <v>0</v>
      </c>
      <c r="H23" s="3" t="e">
        <f>IF($V23="","",INDEX(Config_Weight!$B$2:$B$5,MATCH($V23,Config_Weight!$A$2:$A$5,0)))</f>
        <v>#N/A</v>
      </c>
      <c r="I23" s="3" t="e">
        <f>IF($V23="","",INDEX(Config_Weight!$C$2:$C$5,MATCH($V23,Config_Weight!$A$2:$A$5,0)))</f>
        <v>#N/A</v>
      </c>
      <c r="J23" s="3" t="e">
        <f>IF($V23="","",INDEX(Config_Weight!$D$2:$D$5,MATCH($V23,Config_Weight!$A$2:$A$5,0)))</f>
        <v>#N/A</v>
      </c>
      <c r="K23" s="3" t="e">
        <f>IF($V23="","",INDEX(Config_Weight!$E$2:$E$5,MATCH($V23,Config_Weight!$A$2:$A$5,0)))</f>
        <v>#N/A</v>
      </c>
      <c r="L23" s="6" t="e">
        <f t="shared" si="0"/>
        <v>#N/A</v>
      </c>
      <c r="M23" s="6" t="e">
        <f t="shared" si="1"/>
        <v>#N/A</v>
      </c>
      <c r="N23" s="6" t="e">
        <f t="shared" si="2"/>
        <v>#N/A</v>
      </c>
      <c r="O23" s="6" t="e">
        <f t="shared" si="3"/>
        <v>#N/A</v>
      </c>
      <c r="P23" s="6" t="e">
        <f t="shared" si="4"/>
        <v>#N/A</v>
      </c>
      <c r="Q23" s="3">
        <f t="shared" si="5"/>
        <v>1</v>
      </c>
      <c r="R23" s="3">
        <f>IF($A23="","",IF(OR(P2_Input!H23="Yes",P2_Input!I23="Yes"),1,0))</f>
        <v>0</v>
      </c>
      <c r="S23" s="6" t="e">
        <f t="shared" si="6"/>
        <v>#N/A</v>
      </c>
      <c r="T23" s="3" t="e">
        <f t="shared" si="7"/>
        <v>#N/A</v>
      </c>
      <c r="U23" s="3" t="e">
        <f t="shared" si="8"/>
        <v>#N/A</v>
      </c>
      <c r="V23">
        <f>P2_Input!L23</f>
        <v>0</v>
      </c>
      <c r="W23">
        <f>P2_Input!M23</f>
        <v>0</v>
      </c>
      <c r="X23" t="e">
        <f t="shared" si="9"/>
        <v>#N/A</v>
      </c>
      <c r="Y23" t="e">
        <f>IF(OR($A23="",$W23=""),"",((P2_Input!N23*INDEX(Config_Weight!$B$2:$B$5,MATCH($W23,Config_Weight!$A$2:$A$5,0))/100)+(P2_Input!O23*INDEX(Config_Weight!$C$2:$C$5,MATCH($W23,Config_Weight!$A$2:$A$5,0))/100))/((INDEX(Config_Weight!$B$2:$B$5,MATCH($W23,Config_Weight!$A$2:$A$5,0))+INDEX(Config_Weight!$C$2:$C$5,MATCH($W23,Config_Weight!$A$2:$A$5,0)))/100))</f>
        <v>#N/A</v>
      </c>
    </row>
    <row r="24" spans="1:25" x14ac:dyDescent="0.3">
      <c r="A24" s="3">
        <f>P2_Input!A24</f>
        <v>0</v>
      </c>
      <c r="B24" s="2">
        <f>P2_Input!B24</f>
        <v>0</v>
      </c>
      <c r="C24" s="3">
        <f>P2_Input!C24</f>
        <v>0</v>
      </c>
      <c r="D24" s="3">
        <f>P2_Input!D24</f>
        <v>0</v>
      </c>
      <c r="E24" s="3">
        <f>P2_Input!E24</f>
        <v>0</v>
      </c>
      <c r="F24" s="3">
        <f>P2_Input!F24</f>
        <v>0</v>
      </c>
      <c r="G24" s="3">
        <f>P2_Input!G24</f>
        <v>0</v>
      </c>
      <c r="H24" s="3" t="e">
        <f>IF($V24="","",INDEX(Config_Weight!$B$2:$B$5,MATCH($V24,Config_Weight!$A$2:$A$5,0)))</f>
        <v>#N/A</v>
      </c>
      <c r="I24" s="3" t="e">
        <f>IF($V24="","",INDEX(Config_Weight!$C$2:$C$5,MATCH($V24,Config_Weight!$A$2:$A$5,0)))</f>
        <v>#N/A</v>
      </c>
      <c r="J24" s="3" t="e">
        <f>IF($V24="","",INDEX(Config_Weight!$D$2:$D$5,MATCH($V24,Config_Weight!$A$2:$A$5,0)))</f>
        <v>#N/A</v>
      </c>
      <c r="K24" s="3" t="e">
        <f>IF($V24="","",INDEX(Config_Weight!$E$2:$E$5,MATCH($V24,Config_Weight!$A$2:$A$5,0)))</f>
        <v>#N/A</v>
      </c>
      <c r="L24" s="6" t="e">
        <f t="shared" si="0"/>
        <v>#N/A</v>
      </c>
      <c r="M24" s="6" t="e">
        <f t="shared" si="1"/>
        <v>#N/A</v>
      </c>
      <c r="N24" s="6" t="e">
        <f t="shared" si="2"/>
        <v>#N/A</v>
      </c>
      <c r="O24" s="6" t="e">
        <f t="shared" si="3"/>
        <v>#N/A</v>
      </c>
      <c r="P24" s="6" t="e">
        <f t="shared" si="4"/>
        <v>#N/A</v>
      </c>
      <c r="Q24" s="3">
        <f t="shared" si="5"/>
        <v>1</v>
      </c>
      <c r="R24" s="3">
        <f>IF($A24="","",IF(OR(P2_Input!H24="Yes",P2_Input!I24="Yes"),1,0))</f>
        <v>0</v>
      </c>
      <c r="S24" s="6" t="e">
        <f t="shared" si="6"/>
        <v>#N/A</v>
      </c>
      <c r="T24" s="3" t="e">
        <f t="shared" si="7"/>
        <v>#N/A</v>
      </c>
      <c r="U24" s="3" t="e">
        <f t="shared" si="8"/>
        <v>#N/A</v>
      </c>
      <c r="V24">
        <f>P2_Input!L24</f>
        <v>0</v>
      </c>
      <c r="W24">
        <f>P2_Input!M24</f>
        <v>0</v>
      </c>
      <c r="X24" t="e">
        <f t="shared" si="9"/>
        <v>#N/A</v>
      </c>
      <c r="Y24" t="e">
        <f>IF(OR($A24="",$W24=""),"",((P2_Input!N24*INDEX(Config_Weight!$B$2:$B$5,MATCH($W24,Config_Weight!$A$2:$A$5,0))/100)+(P2_Input!O24*INDEX(Config_Weight!$C$2:$C$5,MATCH($W24,Config_Weight!$A$2:$A$5,0))/100))/((INDEX(Config_Weight!$B$2:$B$5,MATCH($W24,Config_Weight!$A$2:$A$5,0))+INDEX(Config_Weight!$C$2:$C$5,MATCH($W24,Config_Weight!$A$2:$A$5,0)))/100))</f>
        <v>#N/A</v>
      </c>
    </row>
    <row r="25" spans="1:25" x14ac:dyDescent="0.3">
      <c r="A25" s="3">
        <f>P2_Input!A25</f>
        <v>0</v>
      </c>
      <c r="B25" s="2">
        <f>P2_Input!B25</f>
        <v>0</v>
      </c>
      <c r="C25" s="3">
        <f>P2_Input!C25</f>
        <v>0</v>
      </c>
      <c r="D25" s="3">
        <f>P2_Input!D25</f>
        <v>0</v>
      </c>
      <c r="E25" s="3">
        <f>P2_Input!E25</f>
        <v>0</v>
      </c>
      <c r="F25" s="3">
        <f>P2_Input!F25</f>
        <v>0</v>
      </c>
      <c r="G25" s="3">
        <f>P2_Input!G25</f>
        <v>0</v>
      </c>
      <c r="H25" s="3" t="e">
        <f>IF($V25="","",INDEX(Config_Weight!$B$2:$B$5,MATCH($V25,Config_Weight!$A$2:$A$5,0)))</f>
        <v>#N/A</v>
      </c>
      <c r="I25" s="3" t="e">
        <f>IF($V25="","",INDEX(Config_Weight!$C$2:$C$5,MATCH($V25,Config_Weight!$A$2:$A$5,0)))</f>
        <v>#N/A</v>
      </c>
      <c r="J25" s="3" t="e">
        <f>IF($V25="","",INDEX(Config_Weight!$D$2:$D$5,MATCH($V25,Config_Weight!$A$2:$A$5,0)))</f>
        <v>#N/A</v>
      </c>
      <c r="K25" s="3" t="e">
        <f>IF($V25="","",INDEX(Config_Weight!$E$2:$E$5,MATCH($V25,Config_Weight!$A$2:$A$5,0)))</f>
        <v>#N/A</v>
      </c>
      <c r="L25" s="6" t="e">
        <f t="shared" si="0"/>
        <v>#N/A</v>
      </c>
      <c r="M25" s="6" t="e">
        <f t="shared" si="1"/>
        <v>#N/A</v>
      </c>
      <c r="N25" s="6" t="e">
        <f t="shared" si="2"/>
        <v>#N/A</v>
      </c>
      <c r="O25" s="6" t="e">
        <f t="shared" si="3"/>
        <v>#N/A</v>
      </c>
      <c r="P25" s="6" t="e">
        <f t="shared" si="4"/>
        <v>#N/A</v>
      </c>
      <c r="Q25" s="3">
        <f t="shared" si="5"/>
        <v>1</v>
      </c>
      <c r="R25" s="3">
        <f>IF($A25="","",IF(OR(P2_Input!H25="Yes",P2_Input!I25="Yes"),1,0))</f>
        <v>0</v>
      </c>
      <c r="S25" s="6" t="e">
        <f t="shared" si="6"/>
        <v>#N/A</v>
      </c>
      <c r="T25" s="3" t="e">
        <f t="shared" si="7"/>
        <v>#N/A</v>
      </c>
      <c r="U25" s="3" t="e">
        <f t="shared" si="8"/>
        <v>#N/A</v>
      </c>
      <c r="V25">
        <f>P2_Input!L25</f>
        <v>0</v>
      </c>
      <c r="W25">
        <f>P2_Input!M25</f>
        <v>0</v>
      </c>
      <c r="X25" t="e">
        <f t="shared" si="9"/>
        <v>#N/A</v>
      </c>
      <c r="Y25" t="e">
        <f>IF(OR($A25="",$W25=""),"",((P2_Input!N25*INDEX(Config_Weight!$B$2:$B$5,MATCH($W25,Config_Weight!$A$2:$A$5,0))/100)+(P2_Input!O25*INDEX(Config_Weight!$C$2:$C$5,MATCH($W25,Config_Weight!$A$2:$A$5,0))/100))/((INDEX(Config_Weight!$B$2:$B$5,MATCH($W25,Config_Weight!$A$2:$A$5,0))+INDEX(Config_Weight!$C$2:$C$5,MATCH($W25,Config_Weight!$A$2:$A$5,0)))/100))</f>
        <v>#N/A</v>
      </c>
    </row>
    <row r="26" spans="1:25" x14ac:dyDescent="0.3">
      <c r="A26" s="3">
        <f>P2_Input!A26</f>
        <v>0</v>
      </c>
      <c r="B26" s="2">
        <f>P2_Input!B26</f>
        <v>0</v>
      </c>
      <c r="C26" s="3">
        <f>P2_Input!C26</f>
        <v>0</v>
      </c>
      <c r="D26" s="3">
        <f>P2_Input!D26</f>
        <v>0</v>
      </c>
      <c r="E26" s="3">
        <f>P2_Input!E26</f>
        <v>0</v>
      </c>
      <c r="F26" s="3">
        <f>P2_Input!F26</f>
        <v>0</v>
      </c>
      <c r="G26" s="3">
        <f>P2_Input!G26</f>
        <v>0</v>
      </c>
      <c r="H26" s="3" t="e">
        <f>IF($V26="","",INDEX(Config_Weight!$B$2:$B$5,MATCH($V26,Config_Weight!$A$2:$A$5,0)))</f>
        <v>#N/A</v>
      </c>
      <c r="I26" s="3" t="e">
        <f>IF($V26="","",INDEX(Config_Weight!$C$2:$C$5,MATCH($V26,Config_Weight!$A$2:$A$5,0)))</f>
        <v>#N/A</v>
      </c>
      <c r="J26" s="3" t="e">
        <f>IF($V26="","",INDEX(Config_Weight!$D$2:$D$5,MATCH($V26,Config_Weight!$A$2:$A$5,0)))</f>
        <v>#N/A</v>
      </c>
      <c r="K26" s="3" t="e">
        <f>IF($V26="","",INDEX(Config_Weight!$E$2:$E$5,MATCH($V26,Config_Weight!$A$2:$A$5,0)))</f>
        <v>#N/A</v>
      </c>
      <c r="L26" s="6" t="e">
        <f t="shared" si="0"/>
        <v>#N/A</v>
      </c>
      <c r="M26" s="6" t="e">
        <f t="shared" si="1"/>
        <v>#N/A</v>
      </c>
      <c r="N26" s="6" t="e">
        <f t="shared" si="2"/>
        <v>#N/A</v>
      </c>
      <c r="O26" s="6" t="e">
        <f t="shared" si="3"/>
        <v>#N/A</v>
      </c>
      <c r="P26" s="6" t="e">
        <f t="shared" si="4"/>
        <v>#N/A</v>
      </c>
      <c r="Q26" s="3">
        <f t="shared" si="5"/>
        <v>1</v>
      </c>
      <c r="R26" s="3">
        <f>IF($A26="","",IF(OR(P2_Input!H26="Yes",P2_Input!I26="Yes"),1,0))</f>
        <v>0</v>
      </c>
      <c r="S26" s="6" t="e">
        <f t="shared" si="6"/>
        <v>#N/A</v>
      </c>
      <c r="T26" s="3" t="e">
        <f t="shared" si="7"/>
        <v>#N/A</v>
      </c>
      <c r="U26" s="3" t="e">
        <f t="shared" si="8"/>
        <v>#N/A</v>
      </c>
      <c r="V26">
        <f>P2_Input!L26</f>
        <v>0</v>
      </c>
      <c r="W26">
        <f>P2_Input!M26</f>
        <v>0</v>
      </c>
      <c r="X26" t="e">
        <f t="shared" si="9"/>
        <v>#N/A</v>
      </c>
      <c r="Y26" t="e">
        <f>IF(OR($A26="",$W26=""),"",((P2_Input!N26*INDEX(Config_Weight!$B$2:$B$5,MATCH($W26,Config_Weight!$A$2:$A$5,0))/100)+(P2_Input!O26*INDEX(Config_Weight!$C$2:$C$5,MATCH($W26,Config_Weight!$A$2:$A$5,0))/100))/((INDEX(Config_Weight!$B$2:$B$5,MATCH($W26,Config_Weight!$A$2:$A$5,0))+INDEX(Config_Weight!$C$2:$C$5,MATCH($W26,Config_Weight!$A$2:$A$5,0)))/100))</f>
        <v>#N/A</v>
      </c>
    </row>
    <row r="27" spans="1:25" x14ac:dyDescent="0.3">
      <c r="A27" s="3">
        <f>P2_Input!A27</f>
        <v>0</v>
      </c>
      <c r="B27" s="2">
        <f>P2_Input!B27</f>
        <v>0</v>
      </c>
      <c r="C27" s="3">
        <f>P2_Input!C27</f>
        <v>0</v>
      </c>
      <c r="D27" s="3">
        <f>P2_Input!D27</f>
        <v>0</v>
      </c>
      <c r="E27" s="3">
        <f>P2_Input!E27</f>
        <v>0</v>
      </c>
      <c r="F27" s="3">
        <f>P2_Input!F27</f>
        <v>0</v>
      </c>
      <c r="G27" s="3">
        <f>P2_Input!G27</f>
        <v>0</v>
      </c>
      <c r="H27" s="3" t="e">
        <f>IF($V27="","",INDEX(Config_Weight!$B$2:$B$5,MATCH($V27,Config_Weight!$A$2:$A$5,0)))</f>
        <v>#N/A</v>
      </c>
      <c r="I27" s="3" t="e">
        <f>IF($V27="","",INDEX(Config_Weight!$C$2:$C$5,MATCH($V27,Config_Weight!$A$2:$A$5,0)))</f>
        <v>#N/A</v>
      </c>
      <c r="J27" s="3" t="e">
        <f>IF($V27="","",INDEX(Config_Weight!$D$2:$D$5,MATCH($V27,Config_Weight!$A$2:$A$5,0)))</f>
        <v>#N/A</v>
      </c>
      <c r="K27" s="3" t="e">
        <f>IF($V27="","",INDEX(Config_Weight!$E$2:$E$5,MATCH($V27,Config_Weight!$A$2:$A$5,0)))</f>
        <v>#N/A</v>
      </c>
      <c r="L27" s="6" t="e">
        <f t="shared" si="0"/>
        <v>#N/A</v>
      </c>
      <c r="M27" s="6" t="e">
        <f t="shared" si="1"/>
        <v>#N/A</v>
      </c>
      <c r="N27" s="6" t="e">
        <f t="shared" si="2"/>
        <v>#N/A</v>
      </c>
      <c r="O27" s="6" t="e">
        <f t="shared" si="3"/>
        <v>#N/A</v>
      </c>
      <c r="P27" s="6" t="e">
        <f t="shared" si="4"/>
        <v>#N/A</v>
      </c>
      <c r="Q27" s="3">
        <f t="shared" si="5"/>
        <v>1</v>
      </c>
      <c r="R27" s="3">
        <f>IF($A27="","",IF(OR(P2_Input!H27="Yes",P2_Input!I27="Yes"),1,0))</f>
        <v>0</v>
      </c>
      <c r="S27" s="6" t="e">
        <f t="shared" si="6"/>
        <v>#N/A</v>
      </c>
      <c r="T27" s="3" t="e">
        <f t="shared" si="7"/>
        <v>#N/A</v>
      </c>
      <c r="U27" s="3" t="e">
        <f t="shared" si="8"/>
        <v>#N/A</v>
      </c>
      <c r="V27">
        <f>P2_Input!L27</f>
        <v>0</v>
      </c>
      <c r="W27">
        <f>P2_Input!M27</f>
        <v>0</v>
      </c>
      <c r="X27" t="e">
        <f t="shared" si="9"/>
        <v>#N/A</v>
      </c>
      <c r="Y27" t="e">
        <f>IF(OR($A27="",$W27=""),"",((P2_Input!N27*INDEX(Config_Weight!$B$2:$B$5,MATCH($W27,Config_Weight!$A$2:$A$5,0))/100)+(P2_Input!O27*INDEX(Config_Weight!$C$2:$C$5,MATCH($W27,Config_Weight!$A$2:$A$5,0))/100))/((INDEX(Config_Weight!$B$2:$B$5,MATCH($W27,Config_Weight!$A$2:$A$5,0))+INDEX(Config_Weight!$C$2:$C$5,MATCH($W27,Config_Weight!$A$2:$A$5,0)))/100))</f>
        <v>#N/A</v>
      </c>
    </row>
    <row r="28" spans="1:25" x14ac:dyDescent="0.3">
      <c r="A28" s="3">
        <f>P2_Input!A28</f>
        <v>0</v>
      </c>
      <c r="B28" s="2">
        <f>P2_Input!B28</f>
        <v>0</v>
      </c>
      <c r="C28" s="3">
        <f>P2_Input!C28</f>
        <v>0</v>
      </c>
      <c r="D28" s="3">
        <f>P2_Input!D28</f>
        <v>0</v>
      </c>
      <c r="E28" s="3">
        <f>P2_Input!E28</f>
        <v>0</v>
      </c>
      <c r="F28" s="3">
        <f>P2_Input!F28</f>
        <v>0</v>
      </c>
      <c r="G28" s="3">
        <f>P2_Input!G28</f>
        <v>0</v>
      </c>
      <c r="H28" s="3" t="e">
        <f>IF($V28="","",INDEX(Config_Weight!$B$2:$B$5,MATCH($V28,Config_Weight!$A$2:$A$5,0)))</f>
        <v>#N/A</v>
      </c>
      <c r="I28" s="3" t="e">
        <f>IF($V28="","",INDEX(Config_Weight!$C$2:$C$5,MATCH($V28,Config_Weight!$A$2:$A$5,0)))</f>
        <v>#N/A</v>
      </c>
      <c r="J28" s="3" t="e">
        <f>IF($V28="","",INDEX(Config_Weight!$D$2:$D$5,MATCH($V28,Config_Weight!$A$2:$A$5,0)))</f>
        <v>#N/A</v>
      </c>
      <c r="K28" s="3" t="e">
        <f>IF($V28="","",INDEX(Config_Weight!$E$2:$E$5,MATCH($V28,Config_Weight!$A$2:$A$5,0)))</f>
        <v>#N/A</v>
      </c>
      <c r="L28" s="6" t="e">
        <f t="shared" si="0"/>
        <v>#N/A</v>
      </c>
      <c r="M28" s="6" t="e">
        <f t="shared" si="1"/>
        <v>#N/A</v>
      </c>
      <c r="N28" s="6" t="e">
        <f t="shared" si="2"/>
        <v>#N/A</v>
      </c>
      <c r="O28" s="6" t="e">
        <f t="shared" si="3"/>
        <v>#N/A</v>
      </c>
      <c r="P28" s="6" t="e">
        <f t="shared" si="4"/>
        <v>#N/A</v>
      </c>
      <c r="Q28" s="3">
        <f t="shared" si="5"/>
        <v>1</v>
      </c>
      <c r="R28" s="3">
        <f>IF($A28="","",IF(OR(P2_Input!H28="Yes",P2_Input!I28="Yes"),1,0))</f>
        <v>0</v>
      </c>
      <c r="S28" s="6" t="e">
        <f t="shared" si="6"/>
        <v>#N/A</v>
      </c>
      <c r="T28" s="3" t="e">
        <f t="shared" si="7"/>
        <v>#N/A</v>
      </c>
      <c r="U28" s="3" t="e">
        <f t="shared" si="8"/>
        <v>#N/A</v>
      </c>
      <c r="V28">
        <f>P2_Input!L28</f>
        <v>0</v>
      </c>
      <c r="W28">
        <f>P2_Input!M28</f>
        <v>0</v>
      </c>
      <c r="X28" t="e">
        <f t="shared" si="9"/>
        <v>#N/A</v>
      </c>
      <c r="Y28" t="e">
        <f>IF(OR($A28="",$W28=""),"",((P2_Input!N28*INDEX(Config_Weight!$B$2:$B$5,MATCH($W28,Config_Weight!$A$2:$A$5,0))/100)+(P2_Input!O28*INDEX(Config_Weight!$C$2:$C$5,MATCH($W28,Config_Weight!$A$2:$A$5,0))/100))/((INDEX(Config_Weight!$B$2:$B$5,MATCH($W28,Config_Weight!$A$2:$A$5,0))+INDEX(Config_Weight!$C$2:$C$5,MATCH($W28,Config_Weight!$A$2:$A$5,0)))/100))</f>
        <v>#N/A</v>
      </c>
    </row>
    <row r="29" spans="1:25" x14ac:dyDescent="0.3">
      <c r="A29" s="3">
        <f>P2_Input!A29</f>
        <v>0</v>
      </c>
      <c r="B29" s="2">
        <f>P2_Input!B29</f>
        <v>0</v>
      </c>
      <c r="C29" s="3">
        <f>P2_Input!C29</f>
        <v>0</v>
      </c>
      <c r="D29" s="3">
        <f>P2_Input!D29</f>
        <v>0</v>
      </c>
      <c r="E29" s="3">
        <f>P2_Input!E29</f>
        <v>0</v>
      </c>
      <c r="F29" s="3">
        <f>P2_Input!F29</f>
        <v>0</v>
      </c>
      <c r="G29" s="3">
        <f>P2_Input!G29</f>
        <v>0</v>
      </c>
      <c r="H29" s="3" t="e">
        <f>IF($V29="","",INDEX(Config_Weight!$B$2:$B$5,MATCH($V29,Config_Weight!$A$2:$A$5,0)))</f>
        <v>#N/A</v>
      </c>
      <c r="I29" s="3" t="e">
        <f>IF($V29="","",INDEX(Config_Weight!$C$2:$C$5,MATCH($V29,Config_Weight!$A$2:$A$5,0)))</f>
        <v>#N/A</v>
      </c>
      <c r="J29" s="3" t="e">
        <f>IF($V29="","",INDEX(Config_Weight!$D$2:$D$5,MATCH($V29,Config_Weight!$A$2:$A$5,0)))</f>
        <v>#N/A</v>
      </c>
      <c r="K29" s="3" t="e">
        <f>IF($V29="","",INDEX(Config_Weight!$E$2:$E$5,MATCH($V29,Config_Weight!$A$2:$A$5,0)))</f>
        <v>#N/A</v>
      </c>
      <c r="L29" s="6" t="e">
        <f t="shared" si="0"/>
        <v>#N/A</v>
      </c>
      <c r="M29" s="6" t="e">
        <f t="shared" si="1"/>
        <v>#N/A</v>
      </c>
      <c r="N29" s="6" t="e">
        <f t="shared" si="2"/>
        <v>#N/A</v>
      </c>
      <c r="O29" s="6" t="e">
        <f t="shared" si="3"/>
        <v>#N/A</v>
      </c>
      <c r="P29" s="6" t="e">
        <f t="shared" si="4"/>
        <v>#N/A</v>
      </c>
      <c r="Q29" s="3">
        <f t="shared" si="5"/>
        <v>1</v>
      </c>
      <c r="R29" s="3">
        <f>IF($A29="","",IF(OR(P2_Input!H29="Yes",P2_Input!I29="Yes"),1,0))</f>
        <v>0</v>
      </c>
      <c r="S29" s="6" t="e">
        <f t="shared" si="6"/>
        <v>#N/A</v>
      </c>
      <c r="T29" s="3" t="e">
        <f t="shared" si="7"/>
        <v>#N/A</v>
      </c>
      <c r="U29" s="3" t="e">
        <f t="shared" si="8"/>
        <v>#N/A</v>
      </c>
      <c r="V29">
        <f>P2_Input!L29</f>
        <v>0</v>
      </c>
      <c r="W29">
        <f>P2_Input!M29</f>
        <v>0</v>
      </c>
      <c r="X29" t="e">
        <f t="shared" si="9"/>
        <v>#N/A</v>
      </c>
      <c r="Y29" t="e">
        <f>IF(OR($A29="",$W29=""),"",((P2_Input!N29*INDEX(Config_Weight!$B$2:$B$5,MATCH($W29,Config_Weight!$A$2:$A$5,0))/100)+(P2_Input!O29*INDEX(Config_Weight!$C$2:$C$5,MATCH($W29,Config_Weight!$A$2:$A$5,0))/100))/((INDEX(Config_Weight!$B$2:$B$5,MATCH($W29,Config_Weight!$A$2:$A$5,0))+INDEX(Config_Weight!$C$2:$C$5,MATCH($W29,Config_Weight!$A$2:$A$5,0)))/100))</f>
        <v>#N/A</v>
      </c>
    </row>
    <row r="30" spans="1:25" x14ac:dyDescent="0.3">
      <c r="A30" s="3">
        <f>P2_Input!A30</f>
        <v>0</v>
      </c>
      <c r="B30" s="2">
        <f>P2_Input!B30</f>
        <v>0</v>
      </c>
      <c r="C30" s="3">
        <f>P2_Input!C30</f>
        <v>0</v>
      </c>
      <c r="D30" s="3">
        <f>P2_Input!D30</f>
        <v>0</v>
      </c>
      <c r="E30" s="3">
        <f>P2_Input!E30</f>
        <v>0</v>
      </c>
      <c r="F30" s="3">
        <f>P2_Input!F30</f>
        <v>0</v>
      </c>
      <c r="G30" s="3">
        <f>P2_Input!G30</f>
        <v>0</v>
      </c>
      <c r="H30" s="3" t="e">
        <f>IF($V30="","",INDEX(Config_Weight!$B$2:$B$5,MATCH($V30,Config_Weight!$A$2:$A$5,0)))</f>
        <v>#N/A</v>
      </c>
      <c r="I30" s="3" t="e">
        <f>IF($V30="","",INDEX(Config_Weight!$C$2:$C$5,MATCH($V30,Config_Weight!$A$2:$A$5,0)))</f>
        <v>#N/A</v>
      </c>
      <c r="J30" s="3" t="e">
        <f>IF($V30="","",INDEX(Config_Weight!$D$2:$D$5,MATCH($V30,Config_Weight!$A$2:$A$5,0)))</f>
        <v>#N/A</v>
      </c>
      <c r="K30" s="3" t="e">
        <f>IF($V30="","",INDEX(Config_Weight!$E$2:$E$5,MATCH($V30,Config_Weight!$A$2:$A$5,0)))</f>
        <v>#N/A</v>
      </c>
      <c r="L30" s="6" t="e">
        <f t="shared" si="0"/>
        <v>#N/A</v>
      </c>
      <c r="M30" s="6" t="e">
        <f t="shared" si="1"/>
        <v>#N/A</v>
      </c>
      <c r="N30" s="6" t="e">
        <f t="shared" si="2"/>
        <v>#N/A</v>
      </c>
      <c r="O30" s="6" t="e">
        <f t="shared" si="3"/>
        <v>#N/A</v>
      </c>
      <c r="P30" s="6" t="e">
        <f t="shared" si="4"/>
        <v>#N/A</v>
      </c>
      <c r="Q30" s="3">
        <f t="shared" si="5"/>
        <v>1</v>
      </c>
      <c r="R30" s="3">
        <f>IF($A30="","",IF(OR(P2_Input!H30="Yes",P2_Input!I30="Yes"),1,0))</f>
        <v>0</v>
      </c>
      <c r="S30" s="6" t="e">
        <f t="shared" si="6"/>
        <v>#N/A</v>
      </c>
      <c r="T30" s="3" t="e">
        <f t="shared" si="7"/>
        <v>#N/A</v>
      </c>
      <c r="U30" s="3" t="e">
        <f t="shared" si="8"/>
        <v>#N/A</v>
      </c>
      <c r="V30">
        <f>P2_Input!L30</f>
        <v>0</v>
      </c>
      <c r="W30">
        <f>P2_Input!M30</f>
        <v>0</v>
      </c>
      <c r="X30" t="e">
        <f t="shared" si="9"/>
        <v>#N/A</v>
      </c>
      <c r="Y30" t="e">
        <f>IF(OR($A30="",$W30=""),"",((P2_Input!N30*INDEX(Config_Weight!$B$2:$B$5,MATCH($W30,Config_Weight!$A$2:$A$5,0))/100)+(P2_Input!O30*INDEX(Config_Weight!$C$2:$C$5,MATCH($W30,Config_Weight!$A$2:$A$5,0))/100))/((INDEX(Config_Weight!$B$2:$B$5,MATCH($W30,Config_Weight!$A$2:$A$5,0))+INDEX(Config_Weight!$C$2:$C$5,MATCH($W30,Config_Weight!$A$2:$A$5,0)))/100))</f>
        <v>#N/A</v>
      </c>
    </row>
    <row r="31" spans="1:25" x14ac:dyDescent="0.3">
      <c r="A31" s="3">
        <f>P2_Input!A31</f>
        <v>0</v>
      </c>
      <c r="B31" s="2">
        <f>P2_Input!B31</f>
        <v>0</v>
      </c>
      <c r="C31" s="3">
        <f>P2_Input!C31</f>
        <v>0</v>
      </c>
      <c r="D31" s="3">
        <f>P2_Input!D31</f>
        <v>0</v>
      </c>
      <c r="E31" s="3">
        <f>P2_Input!E31</f>
        <v>0</v>
      </c>
      <c r="F31" s="3">
        <f>P2_Input!F31</f>
        <v>0</v>
      </c>
      <c r="G31" s="3">
        <f>P2_Input!G31</f>
        <v>0</v>
      </c>
      <c r="H31" s="3" t="e">
        <f>IF($V31="","",INDEX(Config_Weight!$B$2:$B$5,MATCH($V31,Config_Weight!$A$2:$A$5,0)))</f>
        <v>#N/A</v>
      </c>
      <c r="I31" s="3" t="e">
        <f>IF($V31="","",INDEX(Config_Weight!$C$2:$C$5,MATCH($V31,Config_Weight!$A$2:$A$5,0)))</f>
        <v>#N/A</v>
      </c>
      <c r="J31" s="3" t="e">
        <f>IF($V31="","",INDEX(Config_Weight!$D$2:$D$5,MATCH($V31,Config_Weight!$A$2:$A$5,0)))</f>
        <v>#N/A</v>
      </c>
      <c r="K31" s="3" t="e">
        <f>IF($V31="","",INDEX(Config_Weight!$E$2:$E$5,MATCH($V31,Config_Weight!$A$2:$A$5,0)))</f>
        <v>#N/A</v>
      </c>
      <c r="L31" s="6" t="e">
        <f t="shared" si="0"/>
        <v>#N/A</v>
      </c>
      <c r="M31" s="6" t="e">
        <f t="shared" si="1"/>
        <v>#N/A</v>
      </c>
      <c r="N31" s="6" t="e">
        <f t="shared" si="2"/>
        <v>#N/A</v>
      </c>
      <c r="O31" s="6" t="e">
        <f t="shared" si="3"/>
        <v>#N/A</v>
      </c>
      <c r="P31" s="6" t="e">
        <f t="shared" si="4"/>
        <v>#N/A</v>
      </c>
      <c r="Q31" s="3">
        <f t="shared" si="5"/>
        <v>1</v>
      </c>
      <c r="R31" s="3">
        <f>IF($A31="","",IF(OR(P2_Input!H31="Yes",P2_Input!I31="Yes"),1,0))</f>
        <v>0</v>
      </c>
      <c r="S31" s="6" t="e">
        <f t="shared" si="6"/>
        <v>#N/A</v>
      </c>
      <c r="T31" s="3" t="e">
        <f t="shared" si="7"/>
        <v>#N/A</v>
      </c>
      <c r="U31" s="3" t="e">
        <f t="shared" si="8"/>
        <v>#N/A</v>
      </c>
      <c r="V31">
        <f>P2_Input!L31</f>
        <v>0</v>
      </c>
      <c r="W31">
        <f>P2_Input!M31</f>
        <v>0</v>
      </c>
      <c r="X31" t="e">
        <f t="shared" si="9"/>
        <v>#N/A</v>
      </c>
      <c r="Y31" t="e">
        <f>IF(OR($A31="",$W31=""),"",((P2_Input!N31*INDEX(Config_Weight!$B$2:$B$5,MATCH($W31,Config_Weight!$A$2:$A$5,0))/100)+(P2_Input!O31*INDEX(Config_Weight!$C$2:$C$5,MATCH($W31,Config_Weight!$A$2:$A$5,0))/100))/((INDEX(Config_Weight!$B$2:$B$5,MATCH($W31,Config_Weight!$A$2:$A$5,0))+INDEX(Config_Weight!$C$2:$C$5,MATCH($W31,Config_Weight!$A$2:$A$5,0)))/100))</f>
        <v>#N/A</v>
      </c>
    </row>
  </sheetData>
  <conditionalFormatting sqref="Q2:Q31">
    <cfRule type="expression" dxfId="3" priority="1">
      <formula>Q2=1</formula>
    </cfRule>
  </conditionalFormatting>
  <conditionalFormatting sqref="R2:R31">
    <cfRule type="expression" dxfId="2" priority="2">
      <formula>R2=1</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1"/>
  <sheetViews>
    <sheetView showGridLines="0" tabSelected="1" workbookViewId="0">
      <pane ySplit="8" topLeftCell="A9" activePane="bottomLeft" state="frozen"/>
      <selection pane="bottomLeft" activeCell="L15" sqref="L15"/>
    </sheetView>
  </sheetViews>
  <sheetFormatPr defaultRowHeight="14.4" x14ac:dyDescent="0.3"/>
  <cols>
    <col min="1" max="1" width="8" customWidth="1"/>
    <col min="2" max="2" width="12" customWidth="1"/>
    <col min="3" max="3" width="18" customWidth="1"/>
    <col min="4" max="5" width="10" customWidth="1"/>
    <col min="6" max="6" width="12" customWidth="1"/>
    <col min="7" max="7" width="10" customWidth="1"/>
    <col min="8" max="8" width="12" customWidth="1"/>
  </cols>
  <sheetData>
    <row r="1" spans="1:8" ht="28.05" customHeight="1" x14ac:dyDescent="0.3">
      <c r="A1" s="16" t="s">
        <v>142</v>
      </c>
      <c r="B1" s="15"/>
      <c r="C1" s="15"/>
      <c r="D1" s="15"/>
      <c r="E1" s="15"/>
      <c r="F1" s="15"/>
      <c r="G1" s="15"/>
      <c r="H1" s="15"/>
    </row>
    <row r="2" spans="1:8" x14ac:dyDescent="0.3">
      <c r="A2" s="7" t="s">
        <v>143</v>
      </c>
      <c r="B2" s="7" t="s">
        <v>144</v>
      </c>
    </row>
    <row r="3" spans="1:8" x14ac:dyDescent="0.3">
      <c r="A3" s="8" t="s">
        <v>145</v>
      </c>
      <c r="B3" s="8" t="s">
        <v>146</v>
      </c>
    </row>
    <row r="4" spans="1:8" x14ac:dyDescent="0.3">
      <c r="A4" s="8" t="s">
        <v>147</v>
      </c>
      <c r="B4" s="8" t="s">
        <v>148</v>
      </c>
    </row>
    <row r="5" spans="1:8" x14ac:dyDescent="0.3">
      <c r="A5" s="8" t="s">
        <v>149</v>
      </c>
      <c r="B5" s="8" t="s">
        <v>150</v>
      </c>
    </row>
    <row r="6" spans="1:8" x14ac:dyDescent="0.3">
      <c r="A6" t="s">
        <v>151</v>
      </c>
      <c r="B6" t="s">
        <v>152</v>
      </c>
    </row>
    <row r="8" spans="1:8" ht="28.8" customHeight="1" x14ac:dyDescent="0.3">
      <c r="A8" s="1" t="s">
        <v>153</v>
      </c>
      <c r="B8" s="1" t="s">
        <v>102</v>
      </c>
      <c r="C8" s="1" t="s">
        <v>103</v>
      </c>
      <c r="D8" s="1" t="s">
        <v>154</v>
      </c>
      <c r="E8" s="1" t="s">
        <v>137</v>
      </c>
      <c r="F8" s="1" t="s">
        <v>139</v>
      </c>
      <c r="G8" s="1" t="s">
        <v>135</v>
      </c>
      <c r="H8" s="1" t="s">
        <v>136</v>
      </c>
    </row>
    <row r="9" spans="1:8" x14ac:dyDescent="0.3">
      <c r="A9" s="3">
        <f t="shared" ref="A9:A38" si="0">IF($B9="","",COUNTIFS($E$9:$E$38,"&gt;"&amp;$E9)+1)</f>
        <v>31</v>
      </c>
      <c r="B9" s="3" t="str">
        <f>P2_Calc!A2</f>
        <v>E001</v>
      </c>
      <c r="C9" s="2" t="str">
        <f>P2_Calc!B2</f>
        <v>Nguyen Van A</v>
      </c>
      <c r="D9" s="3" t="str">
        <f>P2_Calc!C2</f>
        <v>BE</v>
      </c>
      <c r="E9" s="6" t="e">
        <f>P2_Calc!S2</f>
        <v>#N/A</v>
      </c>
      <c r="F9" s="3" t="e">
        <f>P2_Calc!U2</f>
        <v>#N/A</v>
      </c>
      <c r="G9" s="3">
        <f>P2_Calc!Q2</f>
        <v>0</v>
      </c>
      <c r="H9" s="3">
        <f>P2_Calc!R2</f>
        <v>0</v>
      </c>
    </row>
    <row r="10" spans="1:8" x14ac:dyDescent="0.3">
      <c r="A10" s="3">
        <f t="shared" si="0"/>
        <v>31</v>
      </c>
      <c r="B10" s="3" t="str">
        <f>P2_Calc!A3</f>
        <v>E002</v>
      </c>
      <c r="C10" s="2" t="str">
        <f>P2_Calc!B3</f>
        <v>Tran Thi B</v>
      </c>
      <c r="D10" s="3" t="str">
        <f>P2_Calc!C3</f>
        <v>DE</v>
      </c>
      <c r="E10" s="6" t="e">
        <f>P2_Calc!S3</f>
        <v>#N/A</v>
      </c>
      <c r="F10" s="3" t="e">
        <f>P2_Calc!U3</f>
        <v>#N/A</v>
      </c>
      <c r="G10" s="3">
        <f>P2_Calc!Q3</f>
        <v>0</v>
      </c>
      <c r="H10" s="3">
        <f>P2_Calc!R3</f>
        <v>0</v>
      </c>
    </row>
    <row r="11" spans="1:8" x14ac:dyDescent="0.3">
      <c r="A11" s="3">
        <f t="shared" si="0"/>
        <v>31</v>
      </c>
      <c r="B11" s="3">
        <f>P2_Calc!A4</f>
        <v>0</v>
      </c>
      <c r="C11" s="2">
        <f>P2_Calc!B4</f>
        <v>0</v>
      </c>
      <c r="D11" s="3">
        <f>P2_Calc!C4</f>
        <v>0</v>
      </c>
      <c r="E11" s="6" t="e">
        <f>P2_Calc!S4</f>
        <v>#N/A</v>
      </c>
      <c r="F11" s="3" t="e">
        <f>P2_Calc!U4</f>
        <v>#N/A</v>
      </c>
      <c r="G11" s="3">
        <f>P2_Calc!Q4</f>
        <v>1</v>
      </c>
      <c r="H11" s="3">
        <f>P2_Calc!R4</f>
        <v>0</v>
      </c>
    </row>
    <row r="12" spans="1:8" x14ac:dyDescent="0.3">
      <c r="A12" s="3">
        <f t="shared" si="0"/>
        <v>31</v>
      </c>
      <c r="B12" s="3">
        <f>P2_Calc!A5</f>
        <v>0</v>
      </c>
      <c r="C12" s="2">
        <f>P2_Calc!B5</f>
        <v>0</v>
      </c>
      <c r="D12" s="3">
        <f>P2_Calc!C5</f>
        <v>0</v>
      </c>
      <c r="E12" s="6" t="e">
        <f>P2_Calc!S5</f>
        <v>#N/A</v>
      </c>
      <c r="F12" s="3" t="e">
        <f>P2_Calc!U5</f>
        <v>#N/A</v>
      </c>
      <c r="G12" s="3">
        <f>P2_Calc!Q5</f>
        <v>1</v>
      </c>
      <c r="H12" s="3">
        <f>P2_Calc!R5</f>
        <v>0</v>
      </c>
    </row>
    <row r="13" spans="1:8" x14ac:dyDescent="0.3">
      <c r="A13" s="3">
        <f t="shared" si="0"/>
        <v>31</v>
      </c>
      <c r="B13" s="3">
        <f>P2_Calc!A6</f>
        <v>0</v>
      </c>
      <c r="C13" s="2">
        <f>P2_Calc!B6</f>
        <v>0</v>
      </c>
      <c r="D13" s="3">
        <f>P2_Calc!C6</f>
        <v>0</v>
      </c>
      <c r="E13" s="6" t="e">
        <f>P2_Calc!S6</f>
        <v>#N/A</v>
      </c>
      <c r="F13" s="3" t="e">
        <f>P2_Calc!U6</f>
        <v>#N/A</v>
      </c>
      <c r="G13" s="3">
        <f>P2_Calc!Q6</f>
        <v>1</v>
      </c>
      <c r="H13" s="3">
        <f>P2_Calc!R6</f>
        <v>0</v>
      </c>
    </row>
    <row r="14" spans="1:8" x14ac:dyDescent="0.3">
      <c r="A14" s="3">
        <f t="shared" si="0"/>
        <v>31</v>
      </c>
      <c r="B14" s="3">
        <f>P2_Calc!A7</f>
        <v>0</v>
      </c>
      <c r="C14" s="2">
        <f>P2_Calc!B7</f>
        <v>0</v>
      </c>
      <c r="D14" s="3">
        <f>P2_Calc!C7</f>
        <v>0</v>
      </c>
      <c r="E14" s="6" t="e">
        <f>P2_Calc!S7</f>
        <v>#N/A</v>
      </c>
      <c r="F14" s="3" t="e">
        <f>P2_Calc!U7</f>
        <v>#N/A</v>
      </c>
      <c r="G14" s="3">
        <f>P2_Calc!Q7</f>
        <v>1</v>
      </c>
      <c r="H14" s="3">
        <f>P2_Calc!R7</f>
        <v>0</v>
      </c>
    </row>
    <row r="15" spans="1:8" x14ac:dyDescent="0.3">
      <c r="A15" s="3">
        <f t="shared" si="0"/>
        <v>31</v>
      </c>
      <c r="B15" s="3">
        <f>P2_Calc!A8</f>
        <v>0</v>
      </c>
      <c r="C15" s="2">
        <f>P2_Calc!B8</f>
        <v>0</v>
      </c>
      <c r="D15" s="3">
        <f>P2_Calc!C8</f>
        <v>0</v>
      </c>
      <c r="E15" s="6" t="e">
        <f>P2_Calc!S8</f>
        <v>#N/A</v>
      </c>
      <c r="F15" s="3" t="e">
        <f>P2_Calc!U8</f>
        <v>#N/A</v>
      </c>
      <c r="G15" s="3">
        <f>P2_Calc!Q8</f>
        <v>1</v>
      </c>
      <c r="H15" s="3">
        <f>P2_Calc!R8</f>
        <v>0</v>
      </c>
    </row>
    <row r="16" spans="1:8" x14ac:dyDescent="0.3">
      <c r="A16" s="3">
        <f t="shared" si="0"/>
        <v>31</v>
      </c>
      <c r="B16" s="3">
        <f>P2_Calc!A9</f>
        <v>0</v>
      </c>
      <c r="C16" s="2">
        <f>P2_Calc!B9</f>
        <v>0</v>
      </c>
      <c r="D16" s="3">
        <f>P2_Calc!C9</f>
        <v>0</v>
      </c>
      <c r="E16" s="6" t="e">
        <f>P2_Calc!S9</f>
        <v>#N/A</v>
      </c>
      <c r="F16" s="3" t="e">
        <f>P2_Calc!U9</f>
        <v>#N/A</v>
      </c>
      <c r="G16" s="3">
        <f>P2_Calc!Q9</f>
        <v>1</v>
      </c>
      <c r="H16" s="3">
        <f>P2_Calc!R9</f>
        <v>0</v>
      </c>
    </row>
    <row r="17" spans="1:8" x14ac:dyDescent="0.3">
      <c r="A17" s="3">
        <f t="shared" si="0"/>
        <v>31</v>
      </c>
      <c r="B17" s="3">
        <f>P2_Calc!A10</f>
        <v>0</v>
      </c>
      <c r="C17" s="2">
        <f>P2_Calc!B10</f>
        <v>0</v>
      </c>
      <c r="D17" s="3">
        <f>P2_Calc!C10</f>
        <v>0</v>
      </c>
      <c r="E17" s="6" t="e">
        <f>P2_Calc!S10</f>
        <v>#N/A</v>
      </c>
      <c r="F17" s="3" t="e">
        <f>P2_Calc!U10</f>
        <v>#N/A</v>
      </c>
      <c r="G17" s="3">
        <f>P2_Calc!Q10</f>
        <v>1</v>
      </c>
      <c r="H17" s="3">
        <f>P2_Calc!R10</f>
        <v>0</v>
      </c>
    </row>
    <row r="18" spans="1:8" x14ac:dyDescent="0.3">
      <c r="A18" s="3">
        <f t="shared" si="0"/>
        <v>31</v>
      </c>
      <c r="B18" s="3">
        <f>P2_Calc!A11</f>
        <v>0</v>
      </c>
      <c r="C18" s="2">
        <f>P2_Calc!B11</f>
        <v>0</v>
      </c>
      <c r="D18" s="3">
        <f>P2_Calc!C11</f>
        <v>0</v>
      </c>
      <c r="E18" s="6" t="e">
        <f>P2_Calc!S11</f>
        <v>#N/A</v>
      </c>
      <c r="F18" s="3" t="e">
        <f>P2_Calc!U11</f>
        <v>#N/A</v>
      </c>
      <c r="G18" s="3">
        <f>P2_Calc!Q11</f>
        <v>1</v>
      </c>
      <c r="H18" s="3">
        <f>P2_Calc!R11</f>
        <v>0</v>
      </c>
    </row>
    <row r="19" spans="1:8" x14ac:dyDescent="0.3">
      <c r="A19" s="3">
        <f t="shared" si="0"/>
        <v>31</v>
      </c>
      <c r="B19" s="3">
        <f>P2_Calc!A12</f>
        <v>0</v>
      </c>
      <c r="C19" s="2">
        <f>P2_Calc!B12</f>
        <v>0</v>
      </c>
      <c r="D19" s="3">
        <f>P2_Calc!C12</f>
        <v>0</v>
      </c>
      <c r="E19" s="6" t="e">
        <f>P2_Calc!S12</f>
        <v>#N/A</v>
      </c>
      <c r="F19" s="3" t="e">
        <f>P2_Calc!U12</f>
        <v>#N/A</v>
      </c>
      <c r="G19" s="3">
        <f>P2_Calc!Q12</f>
        <v>1</v>
      </c>
      <c r="H19" s="3">
        <f>P2_Calc!R12</f>
        <v>0</v>
      </c>
    </row>
    <row r="20" spans="1:8" x14ac:dyDescent="0.3">
      <c r="A20" s="3">
        <f t="shared" si="0"/>
        <v>31</v>
      </c>
      <c r="B20" s="3">
        <f>P2_Calc!A13</f>
        <v>0</v>
      </c>
      <c r="C20" s="2">
        <f>P2_Calc!B13</f>
        <v>0</v>
      </c>
      <c r="D20" s="3">
        <f>P2_Calc!C13</f>
        <v>0</v>
      </c>
      <c r="E20" s="6" t="e">
        <f>P2_Calc!S13</f>
        <v>#N/A</v>
      </c>
      <c r="F20" s="3" t="e">
        <f>P2_Calc!U13</f>
        <v>#N/A</v>
      </c>
      <c r="G20" s="3">
        <f>P2_Calc!Q13</f>
        <v>1</v>
      </c>
      <c r="H20" s="3">
        <f>P2_Calc!R13</f>
        <v>0</v>
      </c>
    </row>
    <row r="21" spans="1:8" x14ac:dyDescent="0.3">
      <c r="A21" s="3">
        <f t="shared" si="0"/>
        <v>31</v>
      </c>
      <c r="B21" s="3">
        <f>P2_Calc!A14</f>
        <v>0</v>
      </c>
      <c r="C21" s="2">
        <f>P2_Calc!B14</f>
        <v>0</v>
      </c>
      <c r="D21" s="3">
        <f>P2_Calc!C14</f>
        <v>0</v>
      </c>
      <c r="E21" s="6" t="e">
        <f>P2_Calc!S14</f>
        <v>#N/A</v>
      </c>
      <c r="F21" s="3" t="e">
        <f>P2_Calc!U14</f>
        <v>#N/A</v>
      </c>
      <c r="G21" s="3">
        <f>P2_Calc!Q14</f>
        <v>1</v>
      </c>
      <c r="H21" s="3">
        <f>P2_Calc!R14</f>
        <v>0</v>
      </c>
    </row>
    <row r="22" spans="1:8" x14ac:dyDescent="0.3">
      <c r="A22" s="3">
        <f t="shared" si="0"/>
        <v>31</v>
      </c>
      <c r="B22" s="3">
        <f>P2_Calc!A15</f>
        <v>0</v>
      </c>
      <c r="C22" s="2">
        <f>P2_Calc!B15</f>
        <v>0</v>
      </c>
      <c r="D22" s="3">
        <f>P2_Calc!C15</f>
        <v>0</v>
      </c>
      <c r="E22" s="6" t="e">
        <f>P2_Calc!S15</f>
        <v>#N/A</v>
      </c>
      <c r="F22" s="3" t="e">
        <f>P2_Calc!U15</f>
        <v>#N/A</v>
      </c>
      <c r="G22" s="3">
        <f>P2_Calc!Q15</f>
        <v>1</v>
      </c>
      <c r="H22" s="3">
        <f>P2_Calc!R15</f>
        <v>0</v>
      </c>
    </row>
    <row r="23" spans="1:8" x14ac:dyDescent="0.3">
      <c r="A23" s="3">
        <f t="shared" si="0"/>
        <v>31</v>
      </c>
      <c r="B23" s="3">
        <f>P2_Calc!A16</f>
        <v>0</v>
      </c>
      <c r="C23" s="2">
        <f>P2_Calc!B16</f>
        <v>0</v>
      </c>
      <c r="D23" s="3">
        <f>P2_Calc!C16</f>
        <v>0</v>
      </c>
      <c r="E23" s="6" t="e">
        <f>P2_Calc!S16</f>
        <v>#N/A</v>
      </c>
      <c r="F23" s="3" t="e">
        <f>P2_Calc!U16</f>
        <v>#N/A</v>
      </c>
      <c r="G23" s="3">
        <f>P2_Calc!Q16</f>
        <v>1</v>
      </c>
      <c r="H23" s="3">
        <f>P2_Calc!R16</f>
        <v>0</v>
      </c>
    </row>
    <row r="24" spans="1:8" x14ac:dyDescent="0.3">
      <c r="A24" s="3">
        <f t="shared" si="0"/>
        <v>31</v>
      </c>
      <c r="B24" s="3">
        <f>P2_Calc!A17</f>
        <v>0</v>
      </c>
      <c r="C24" s="2">
        <f>P2_Calc!B17</f>
        <v>0</v>
      </c>
      <c r="D24" s="3">
        <f>P2_Calc!C17</f>
        <v>0</v>
      </c>
      <c r="E24" s="6" t="e">
        <f>P2_Calc!S17</f>
        <v>#N/A</v>
      </c>
      <c r="F24" s="3" t="e">
        <f>P2_Calc!U17</f>
        <v>#N/A</v>
      </c>
      <c r="G24" s="3">
        <f>P2_Calc!Q17</f>
        <v>1</v>
      </c>
      <c r="H24" s="3">
        <f>P2_Calc!R17</f>
        <v>0</v>
      </c>
    </row>
    <row r="25" spans="1:8" x14ac:dyDescent="0.3">
      <c r="A25" s="3">
        <f t="shared" si="0"/>
        <v>31</v>
      </c>
      <c r="B25" s="3">
        <f>P2_Calc!A18</f>
        <v>0</v>
      </c>
      <c r="C25" s="2">
        <f>P2_Calc!B18</f>
        <v>0</v>
      </c>
      <c r="D25" s="3">
        <f>P2_Calc!C18</f>
        <v>0</v>
      </c>
      <c r="E25" s="6" t="e">
        <f>P2_Calc!S18</f>
        <v>#N/A</v>
      </c>
      <c r="F25" s="3" t="e">
        <f>P2_Calc!U18</f>
        <v>#N/A</v>
      </c>
      <c r="G25" s="3">
        <f>P2_Calc!Q18</f>
        <v>1</v>
      </c>
      <c r="H25" s="3">
        <f>P2_Calc!R18</f>
        <v>0</v>
      </c>
    </row>
    <row r="26" spans="1:8" x14ac:dyDescent="0.3">
      <c r="A26" s="3">
        <f t="shared" si="0"/>
        <v>31</v>
      </c>
      <c r="B26" s="3">
        <f>P2_Calc!A19</f>
        <v>0</v>
      </c>
      <c r="C26" s="2">
        <f>P2_Calc!B19</f>
        <v>0</v>
      </c>
      <c r="D26" s="3">
        <f>P2_Calc!C19</f>
        <v>0</v>
      </c>
      <c r="E26" s="6" t="e">
        <f>P2_Calc!S19</f>
        <v>#N/A</v>
      </c>
      <c r="F26" s="3" t="e">
        <f>P2_Calc!U19</f>
        <v>#N/A</v>
      </c>
      <c r="G26" s="3">
        <f>P2_Calc!Q19</f>
        <v>1</v>
      </c>
      <c r="H26" s="3">
        <f>P2_Calc!R19</f>
        <v>0</v>
      </c>
    </row>
    <row r="27" spans="1:8" x14ac:dyDescent="0.3">
      <c r="A27" s="3">
        <f t="shared" si="0"/>
        <v>31</v>
      </c>
      <c r="B27" s="3">
        <f>P2_Calc!A20</f>
        <v>0</v>
      </c>
      <c r="C27" s="2">
        <f>P2_Calc!B20</f>
        <v>0</v>
      </c>
      <c r="D27" s="3">
        <f>P2_Calc!C20</f>
        <v>0</v>
      </c>
      <c r="E27" s="6" t="e">
        <f>P2_Calc!S20</f>
        <v>#N/A</v>
      </c>
      <c r="F27" s="3" t="e">
        <f>P2_Calc!U20</f>
        <v>#N/A</v>
      </c>
      <c r="G27" s="3">
        <f>P2_Calc!Q20</f>
        <v>1</v>
      </c>
      <c r="H27" s="3">
        <f>P2_Calc!R20</f>
        <v>0</v>
      </c>
    </row>
    <row r="28" spans="1:8" x14ac:dyDescent="0.3">
      <c r="A28" s="3">
        <f t="shared" si="0"/>
        <v>31</v>
      </c>
      <c r="B28" s="3">
        <f>P2_Calc!A21</f>
        <v>0</v>
      </c>
      <c r="C28" s="2">
        <f>P2_Calc!B21</f>
        <v>0</v>
      </c>
      <c r="D28" s="3">
        <f>P2_Calc!C21</f>
        <v>0</v>
      </c>
      <c r="E28" s="6" t="e">
        <f>P2_Calc!S21</f>
        <v>#N/A</v>
      </c>
      <c r="F28" s="3" t="e">
        <f>P2_Calc!U21</f>
        <v>#N/A</v>
      </c>
      <c r="G28" s="3">
        <f>P2_Calc!Q21</f>
        <v>1</v>
      </c>
      <c r="H28" s="3">
        <f>P2_Calc!R21</f>
        <v>0</v>
      </c>
    </row>
    <row r="29" spans="1:8" x14ac:dyDescent="0.3">
      <c r="A29" s="3">
        <f t="shared" si="0"/>
        <v>31</v>
      </c>
      <c r="B29" s="3">
        <f>P2_Calc!A22</f>
        <v>0</v>
      </c>
      <c r="C29" s="2">
        <f>P2_Calc!B22</f>
        <v>0</v>
      </c>
      <c r="D29" s="3">
        <f>P2_Calc!C22</f>
        <v>0</v>
      </c>
      <c r="E29" s="6" t="e">
        <f>P2_Calc!S22</f>
        <v>#N/A</v>
      </c>
      <c r="F29" s="3" t="e">
        <f>P2_Calc!U22</f>
        <v>#N/A</v>
      </c>
      <c r="G29" s="3">
        <f>P2_Calc!Q22</f>
        <v>1</v>
      </c>
      <c r="H29" s="3">
        <f>P2_Calc!R22</f>
        <v>0</v>
      </c>
    </row>
    <row r="30" spans="1:8" x14ac:dyDescent="0.3">
      <c r="A30" s="3">
        <f t="shared" si="0"/>
        <v>31</v>
      </c>
      <c r="B30" s="3">
        <f>P2_Calc!A23</f>
        <v>0</v>
      </c>
      <c r="C30" s="2">
        <f>P2_Calc!B23</f>
        <v>0</v>
      </c>
      <c r="D30" s="3">
        <f>P2_Calc!C23</f>
        <v>0</v>
      </c>
      <c r="E30" s="6" t="e">
        <f>P2_Calc!S23</f>
        <v>#N/A</v>
      </c>
      <c r="F30" s="3" t="e">
        <f>P2_Calc!U23</f>
        <v>#N/A</v>
      </c>
      <c r="G30" s="3">
        <f>P2_Calc!Q23</f>
        <v>1</v>
      </c>
      <c r="H30" s="3">
        <f>P2_Calc!R23</f>
        <v>0</v>
      </c>
    </row>
    <row r="31" spans="1:8" x14ac:dyDescent="0.3">
      <c r="A31" s="3">
        <f t="shared" si="0"/>
        <v>31</v>
      </c>
      <c r="B31" s="3">
        <f>P2_Calc!A24</f>
        <v>0</v>
      </c>
      <c r="C31" s="2">
        <f>P2_Calc!B24</f>
        <v>0</v>
      </c>
      <c r="D31" s="3">
        <f>P2_Calc!C24</f>
        <v>0</v>
      </c>
      <c r="E31" s="6" t="e">
        <f>P2_Calc!S24</f>
        <v>#N/A</v>
      </c>
      <c r="F31" s="3" t="e">
        <f>P2_Calc!U24</f>
        <v>#N/A</v>
      </c>
      <c r="G31" s="3">
        <f>P2_Calc!Q24</f>
        <v>1</v>
      </c>
      <c r="H31" s="3">
        <f>P2_Calc!R24</f>
        <v>0</v>
      </c>
    </row>
    <row r="32" spans="1:8" x14ac:dyDescent="0.3">
      <c r="A32" s="3">
        <f t="shared" si="0"/>
        <v>31</v>
      </c>
      <c r="B32" s="3">
        <f>P2_Calc!A25</f>
        <v>0</v>
      </c>
      <c r="C32" s="2">
        <f>P2_Calc!B25</f>
        <v>0</v>
      </c>
      <c r="D32" s="3">
        <f>P2_Calc!C25</f>
        <v>0</v>
      </c>
      <c r="E32" s="6" t="e">
        <f>P2_Calc!S25</f>
        <v>#N/A</v>
      </c>
      <c r="F32" s="3" t="e">
        <f>P2_Calc!U25</f>
        <v>#N/A</v>
      </c>
      <c r="G32" s="3">
        <f>P2_Calc!Q25</f>
        <v>1</v>
      </c>
      <c r="H32" s="3">
        <f>P2_Calc!R25</f>
        <v>0</v>
      </c>
    </row>
    <row r="33" spans="1:8" x14ac:dyDescent="0.3">
      <c r="A33" s="3">
        <f t="shared" si="0"/>
        <v>31</v>
      </c>
      <c r="B33" s="3">
        <f>P2_Calc!A26</f>
        <v>0</v>
      </c>
      <c r="C33" s="2">
        <f>P2_Calc!B26</f>
        <v>0</v>
      </c>
      <c r="D33" s="3">
        <f>P2_Calc!C26</f>
        <v>0</v>
      </c>
      <c r="E33" s="6" t="e">
        <f>P2_Calc!S26</f>
        <v>#N/A</v>
      </c>
      <c r="F33" s="3" t="e">
        <f>P2_Calc!U26</f>
        <v>#N/A</v>
      </c>
      <c r="G33" s="3">
        <f>P2_Calc!Q26</f>
        <v>1</v>
      </c>
      <c r="H33" s="3">
        <f>P2_Calc!R26</f>
        <v>0</v>
      </c>
    </row>
    <row r="34" spans="1:8" x14ac:dyDescent="0.3">
      <c r="A34" s="3">
        <f t="shared" si="0"/>
        <v>31</v>
      </c>
      <c r="B34" s="3">
        <f>P2_Calc!A27</f>
        <v>0</v>
      </c>
      <c r="C34" s="2">
        <f>P2_Calc!B27</f>
        <v>0</v>
      </c>
      <c r="D34" s="3">
        <f>P2_Calc!C27</f>
        <v>0</v>
      </c>
      <c r="E34" s="6" t="e">
        <f>P2_Calc!S27</f>
        <v>#N/A</v>
      </c>
      <c r="F34" s="3" t="e">
        <f>P2_Calc!U27</f>
        <v>#N/A</v>
      </c>
      <c r="G34" s="3">
        <f>P2_Calc!Q27</f>
        <v>1</v>
      </c>
      <c r="H34" s="3">
        <f>P2_Calc!R27</f>
        <v>0</v>
      </c>
    </row>
    <row r="35" spans="1:8" x14ac:dyDescent="0.3">
      <c r="A35" s="3">
        <f t="shared" si="0"/>
        <v>31</v>
      </c>
      <c r="B35" s="3">
        <f>P2_Calc!A28</f>
        <v>0</v>
      </c>
      <c r="C35" s="2">
        <f>P2_Calc!B28</f>
        <v>0</v>
      </c>
      <c r="D35" s="3">
        <f>P2_Calc!C28</f>
        <v>0</v>
      </c>
      <c r="E35" s="6" t="e">
        <f>P2_Calc!S28</f>
        <v>#N/A</v>
      </c>
      <c r="F35" s="3" t="e">
        <f>P2_Calc!U28</f>
        <v>#N/A</v>
      </c>
      <c r="G35" s="3">
        <f>P2_Calc!Q28</f>
        <v>1</v>
      </c>
      <c r="H35" s="3">
        <f>P2_Calc!R28</f>
        <v>0</v>
      </c>
    </row>
    <row r="36" spans="1:8" x14ac:dyDescent="0.3">
      <c r="A36" s="3">
        <f t="shared" si="0"/>
        <v>31</v>
      </c>
      <c r="B36" s="3">
        <f>P2_Calc!A29</f>
        <v>0</v>
      </c>
      <c r="C36" s="2">
        <f>P2_Calc!B29</f>
        <v>0</v>
      </c>
      <c r="D36" s="3">
        <f>P2_Calc!C29</f>
        <v>0</v>
      </c>
      <c r="E36" s="6" t="e">
        <f>P2_Calc!S29</f>
        <v>#N/A</v>
      </c>
      <c r="F36" s="3" t="e">
        <f>P2_Calc!U29</f>
        <v>#N/A</v>
      </c>
      <c r="G36" s="3">
        <f>P2_Calc!Q29</f>
        <v>1</v>
      </c>
      <c r="H36" s="3">
        <f>P2_Calc!R29</f>
        <v>0</v>
      </c>
    </row>
    <row r="37" spans="1:8" x14ac:dyDescent="0.3">
      <c r="A37" s="3">
        <f t="shared" si="0"/>
        <v>31</v>
      </c>
      <c r="B37" s="3">
        <f>P2_Calc!A30</f>
        <v>0</v>
      </c>
      <c r="C37" s="2">
        <f>P2_Calc!B30</f>
        <v>0</v>
      </c>
      <c r="D37" s="3">
        <f>P2_Calc!C30</f>
        <v>0</v>
      </c>
      <c r="E37" s="6" t="e">
        <f>P2_Calc!S30</f>
        <v>#N/A</v>
      </c>
      <c r="F37" s="3" t="e">
        <f>P2_Calc!U30</f>
        <v>#N/A</v>
      </c>
      <c r="G37" s="3">
        <f>P2_Calc!Q30</f>
        <v>1</v>
      </c>
      <c r="H37" s="3">
        <f>P2_Calc!R30</f>
        <v>0</v>
      </c>
    </row>
    <row r="38" spans="1:8" x14ac:dyDescent="0.3">
      <c r="A38" s="3">
        <f t="shared" si="0"/>
        <v>31</v>
      </c>
      <c r="B38" s="3">
        <f>P2_Calc!A31</f>
        <v>0</v>
      </c>
      <c r="C38" s="2">
        <f>P2_Calc!B31</f>
        <v>0</v>
      </c>
      <c r="D38" s="3">
        <f>P2_Calc!C31</f>
        <v>0</v>
      </c>
      <c r="E38" s="6" t="e">
        <f>P2_Calc!S31</f>
        <v>#N/A</v>
      </c>
      <c r="F38" s="3" t="e">
        <f>P2_Calc!U31</f>
        <v>#N/A</v>
      </c>
      <c r="G38" s="3">
        <f>P2_Calc!Q31</f>
        <v>1</v>
      </c>
      <c r="H38" s="3">
        <f>P2_Calc!R31</f>
        <v>0</v>
      </c>
    </row>
    <row r="41" spans="1:8" x14ac:dyDescent="0.3">
      <c r="A41" s="14" t="s">
        <v>155</v>
      </c>
      <c r="B41" s="15"/>
      <c r="C41" s="15"/>
      <c r="D41" s="15"/>
      <c r="E41" s="15"/>
      <c r="F41" s="15"/>
      <c r="G41" s="15"/>
      <c r="H41" s="15"/>
    </row>
  </sheetData>
  <mergeCells count="2">
    <mergeCell ref="A41:H41"/>
    <mergeCell ref="A1:H1"/>
  </mergeCells>
  <conditionalFormatting sqref="G9:G37">
    <cfRule type="expression" dxfId="1" priority="1">
      <formula>G9=1</formula>
    </cfRule>
  </conditionalFormatting>
  <conditionalFormatting sqref="H9:H37">
    <cfRule type="expression" dxfId="0" priority="2">
      <formula>H9=1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Config_Role</vt:lpstr>
      <vt:lpstr>Config_Weight</vt:lpstr>
      <vt:lpstr>Tiêu chí</vt:lpstr>
      <vt:lpstr>P2_Input</vt:lpstr>
      <vt:lpstr>P2_Calc</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2026-01-26T04:05:23Z</dcterms:created>
  <dcterms:modified xsi:type="dcterms:W3CDTF">2026-01-26T06:52:41Z</dcterms:modified>
</cp:coreProperties>
</file>