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CONG VIEC\project-management\"/>
    </mc:Choice>
  </mc:AlternateContent>
  <xr:revisionPtr revIDLastSave="0" documentId="13_ncr:1_{7B2E3B43-6BE8-402C-AB4C-BFEA0C439299}" xr6:coauthVersionLast="47" xr6:coauthVersionMax="47" xr10:uidLastSave="{00000000-0000-0000-0000-000000000000}"/>
  <bookViews>
    <workbookView xWindow="-108" yWindow="-108" windowWidth="23256" windowHeight="12576" activeTab="3" xr2:uid="{00000000-000D-0000-FFFF-FFFF00000000}"/>
  </bookViews>
  <sheets>
    <sheet name="Executive Summary" sheetId="1" r:id="rId1"/>
    <sheet name="Cấu trúc &amp; Trọng số" sheetId="2" r:id="rId2"/>
    <sheet name="LEAD_CÔNG NGHỆ" sheetId="3" r:id="rId3"/>
    <sheet name="MÔ TẢ - PHỤ LỤC" sheetId="4" r:id="rId4"/>
    <sheet name="Summary_Ranking"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0" i="3" l="1"/>
  <c r="M20" i="5" s="1"/>
  <c r="K35" i="5"/>
  <c r="J35" i="5"/>
  <c r="G35" i="5"/>
  <c r="F35" i="5"/>
  <c r="K34" i="5"/>
  <c r="J34" i="5"/>
  <c r="G34" i="5"/>
  <c r="F34" i="5"/>
  <c r="K33" i="5"/>
  <c r="J33" i="5"/>
  <c r="G33" i="5"/>
  <c r="F33" i="5"/>
  <c r="K32" i="5"/>
  <c r="J32" i="5"/>
  <c r="G32" i="5"/>
  <c r="F32" i="5"/>
  <c r="K31" i="5"/>
  <c r="J31" i="5"/>
  <c r="G31" i="5"/>
  <c r="F31" i="5"/>
  <c r="K30" i="5"/>
  <c r="J30" i="5"/>
  <c r="G30" i="5"/>
  <c r="F30" i="5"/>
  <c r="K29" i="5"/>
  <c r="J29" i="5"/>
  <c r="G29" i="5"/>
  <c r="F29" i="5"/>
  <c r="K28" i="5"/>
  <c r="J28" i="5"/>
  <c r="G28" i="5"/>
  <c r="F28" i="5"/>
  <c r="K27" i="5"/>
  <c r="J27" i="5"/>
  <c r="G27" i="5"/>
  <c r="F27" i="5"/>
  <c r="K26" i="5"/>
  <c r="J26" i="5"/>
  <c r="G26" i="5"/>
  <c r="F26" i="5"/>
  <c r="K25" i="5"/>
  <c r="J25" i="5"/>
  <c r="G25" i="5"/>
  <c r="F25" i="5"/>
  <c r="K24" i="5"/>
  <c r="J24" i="5"/>
  <c r="G24" i="5"/>
  <c r="F24" i="5"/>
  <c r="K23" i="5"/>
  <c r="J23" i="5"/>
  <c r="G23" i="5"/>
  <c r="F23" i="5"/>
  <c r="K22" i="5"/>
  <c r="J22" i="5"/>
  <c r="G22" i="5"/>
  <c r="F22" i="5"/>
  <c r="K21" i="5"/>
  <c r="J21" i="5"/>
  <c r="G21" i="5"/>
  <c r="F21" i="5"/>
  <c r="K20" i="5"/>
  <c r="J20" i="5"/>
  <c r="G20" i="5"/>
  <c r="F20" i="5"/>
  <c r="K19" i="5"/>
  <c r="J19" i="5"/>
  <c r="G19" i="5"/>
  <c r="F19" i="5"/>
  <c r="K18" i="5"/>
  <c r="J18" i="5"/>
  <c r="G18" i="5"/>
  <c r="F18" i="5"/>
  <c r="M17" i="5"/>
  <c r="K17" i="5"/>
  <c r="J17" i="5"/>
  <c r="G17" i="5"/>
  <c r="F17" i="5"/>
  <c r="K16" i="5"/>
  <c r="J16" i="5"/>
  <c r="G16" i="5"/>
  <c r="F16" i="5"/>
  <c r="K15" i="5"/>
  <c r="J15" i="5"/>
  <c r="G15" i="5"/>
  <c r="F15" i="5"/>
  <c r="K14" i="5"/>
  <c r="J14" i="5"/>
  <c r="G14" i="5"/>
  <c r="F14" i="5"/>
  <c r="K13" i="5"/>
  <c r="J13" i="5"/>
  <c r="G13" i="5"/>
  <c r="F13" i="5"/>
  <c r="K12" i="5"/>
  <c r="J12" i="5"/>
  <c r="G12" i="5"/>
  <c r="F12" i="5"/>
  <c r="K11" i="5"/>
  <c r="J11" i="5"/>
  <c r="G11" i="5"/>
  <c r="F11" i="5"/>
  <c r="K10" i="5"/>
  <c r="J10" i="5"/>
  <c r="G10" i="5"/>
  <c r="F10" i="5"/>
  <c r="K9" i="5"/>
  <c r="J9" i="5"/>
  <c r="G9" i="5"/>
  <c r="F9" i="5"/>
  <c r="K8" i="5"/>
  <c r="J8" i="5"/>
  <c r="G8" i="5"/>
  <c r="F8" i="5"/>
  <c r="K7" i="5"/>
  <c r="J7" i="5"/>
  <c r="G7" i="5"/>
  <c r="F7" i="5"/>
  <c r="M6" i="5"/>
  <c r="K6" i="5"/>
  <c r="J6" i="5"/>
  <c r="G6" i="5"/>
  <c r="F6" i="5"/>
  <c r="D10" i="3"/>
  <c r="D9" i="3"/>
  <c r="D8" i="3"/>
  <c r="D7" i="3"/>
  <c r="D11" i="3" l="1"/>
  <c r="B31" i="3" s="1"/>
  <c r="N22" i="5" s="1"/>
  <c r="M25" i="5"/>
  <c r="M33" i="5"/>
  <c r="M22" i="5"/>
  <c r="M30" i="5"/>
  <c r="M12" i="5"/>
  <c r="M28" i="5"/>
  <c r="M14" i="5"/>
  <c r="M35" i="5"/>
  <c r="M9" i="5"/>
  <c r="M7" i="5"/>
  <c r="M15" i="5"/>
  <c r="M23" i="5"/>
  <c r="M31" i="5"/>
  <c r="M10" i="5"/>
  <c r="M18" i="5"/>
  <c r="M26" i="5"/>
  <c r="M34" i="5"/>
  <c r="M13" i="5"/>
  <c r="M21" i="5"/>
  <c r="M29" i="5"/>
  <c r="M8" i="5"/>
  <c r="M16" i="5"/>
  <c r="M24" i="5"/>
  <c r="M32" i="5"/>
  <c r="M11" i="5"/>
  <c r="M19" i="5"/>
  <c r="M27" i="5"/>
  <c r="N28" i="5" l="1"/>
  <c r="N20" i="5"/>
  <c r="N30" i="5"/>
  <c r="N27" i="5"/>
  <c r="N17" i="5"/>
  <c r="N10" i="5"/>
  <c r="N25" i="5"/>
  <c r="N11" i="5"/>
  <c r="N13" i="5"/>
  <c r="N35" i="5"/>
  <c r="N8" i="5"/>
  <c r="N19" i="5"/>
  <c r="N14" i="5"/>
  <c r="N6" i="5"/>
  <c r="N16" i="5"/>
  <c r="N18" i="5"/>
  <c r="N34" i="5"/>
  <c r="N29" i="5"/>
  <c r="N9" i="5"/>
  <c r="N33" i="5"/>
  <c r="N7" i="5"/>
  <c r="N24" i="5"/>
  <c r="N21" i="5"/>
  <c r="N26" i="5"/>
  <c r="N15" i="5"/>
  <c r="N32" i="5"/>
  <c r="N23" i="5"/>
  <c r="N12" i="5"/>
  <c r="N31" i="5"/>
</calcChain>
</file>

<file path=xl/sharedStrings.xml><?xml version="1.0" encoding="utf-8"?>
<sst xmlns="http://schemas.openxmlformats.org/spreadsheetml/2006/main" count="134" uniqueCount="117">
  <si>
    <t>P2+ - MÔ HÌNH ĐÁNH GIÁ NĂNG LỰC MỞ RỘNG</t>
  </si>
  <si>
    <t>P2+ là mô hình đánh giá năng lực mở rộng, trong đó kết quả thực hiện OKR/KPI được tích hợp như một thành phần của P2, thay vì tách thành P3 độc lập. Mục tiêu là đơn giản hóa quy trình, phản ánh đúng đặc thù công việc kỹ thuật và đảm bảo đánh giá cân bằng giữa năng lực dài hạn và kết quả ngắn hạn.</t>
  </si>
  <si>
    <t>👉 Lưu ý quan trọng:</t>
  </si>
  <si>
    <t>• Đây không phải "bỏ P3"
• Mà là biến thể có chủ đích, tích hợp OKR/KPI vào P2
• Giúp đánh giá toàn diện cả năng lực dài hạn (P2-Core) và kết quả ngắn hạn (P2-Delivery)</t>
  </si>
  <si>
    <t>CẤU TRÚC &amp; TRỌNG SỐ P2+</t>
  </si>
  <si>
    <t>I. CẤU TRÚC TỔNG THỂ P2+</t>
  </si>
  <si>
    <t>P2+ gồm 2 thành phần:</t>
  </si>
  <si>
    <t>A. P2-Core – Năng lực &amp; cách làm việc (50%)</t>
  </si>
  <si>
    <t>B. P2-Delivery – Kết quả công việc (50%)</t>
  </si>
  <si>
    <t xml:space="preserve">  • OKR/KPI tháng hoặc quý</t>
  </si>
  <si>
    <t xml:space="preserve">  • Chất lượng delivery</t>
  </si>
  <si>
    <t>II. CÁCH TÍNH ĐIỂM P2+</t>
  </si>
  <si>
    <t>P2+ là điểm đánh giá cuối cùng dùng để xếp loại năng lực.</t>
  </si>
  <si>
    <t>P2+ Tổng = (P2-Core × 50%) + (P2-Delivery × 50%)</t>
  </si>
  <si>
    <t>📌 Trong đó:</t>
  </si>
  <si>
    <t>P2-Core: phản ánh năng lực &amp; cách làm việc dài hạn</t>
  </si>
  <si>
    <t>P2-Delivery: phản ánh kết quả thực tế trong kỳ</t>
  </si>
  <si>
    <t>III. NGUYÊN TẮC ĐÁNH GIÁ (BẮT BUỘC TUÂN THỦ)</t>
  </si>
  <si>
    <t>1️⃣ Không chấm trùng nội dung</t>
  </si>
  <si>
    <t xml:space="preserve">  • P2-Core: chấm cách làm việc, năng lực, hành vi</t>
  </si>
  <si>
    <t xml:space="preserve">  • P2-Delivery: chấm kết quả đầu ra</t>
  </si>
  <si>
    <t xml:space="preserve">  • Ví dụ: Chủ động xử lý sự cố → P2-Core | Số lượng sự cố giảm → P2-Delivery</t>
  </si>
  <si>
    <t>2️⃣ OKR không thay thế năng lực</t>
  </si>
  <si>
    <t xml:space="preserve">  • Nhân sự có kết quả OKR cao nhưng vi phạm chuẩn kỹ thuật, gây rủi ro hệ thống hoặc ảnh hưởng đội nhóm sẽ không được xếp loại P2+ cao.</t>
  </si>
  <si>
    <t>3️⃣ Đánh giá theo mặt bằng chung</t>
  </si>
  <si>
    <t xml:space="preserve">  • Điểm số phản ánh mức độ ổn định và phổ biến</t>
  </si>
  <si>
    <t xml:space="preserve">  • Không đánh giá theo 1–2 tình huống nổi bật</t>
  </si>
  <si>
    <t>IV. NGƯỠNG XẾP LOẠI</t>
  </si>
  <si>
    <t>P2+ Tổng</t>
  </si>
  <si>
    <t>Xếp loại</t>
  </si>
  <si>
    <t>&lt; 2.8</t>
  </si>
  <si>
    <t>Chưa đạt</t>
  </si>
  <si>
    <t>2.8 – 3.4</t>
  </si>
  <si>
    <t>Đạt</t>
  </si>
  <si>
    <t>3.5 – 4.1</t>
  </si>
  <si>
    <t>Tốt</t>
  </si>
  <si>
    <t>≥ 4.2</t>
  </si>
  <si>
    <t>Xuất sắc</t>
  </si>
  <si>
    <t>Họ và tên</t>
  </si>
  <si>
    <t>Kỳ đánh giá</t>
  </si>
  <si>
    <t>Vai trò</t>
  </si>
  <si>
    <t>Người đánh giá</t>
  </si>
  <si>
    <t>Nhóm năng lực</t>
  </si>
  <si>
    <t>Trọng số (%)</t>
  </si>
  <si>
    <t>Điểm quy đổi</t>
  </si>
  <si>
    <t>Nhận xét</t>
  </si>
  <si>
    <t>TỔNG P2</t>
  </si>
  <si>
    <t>THANG ĐÁNH GIÁ CHI TIẾT (L1/L2/L3)</t>
  </si>
  <si>
    <t>Mức</t>
  </si>
  <si>
    <t>Mô tả</t>
  </si>
  <si>
    <t>L1</t>
  </si>
  <si>
    <t>L2</t>
  </si>
  <si>
    <t>L3</t>
  </si>
  <si>
    <t>Kết quả công việc (P2-Delivery – từ OKR/KPI)</t>
  </si>
  <si>
    <t>Phần này phản ánh kết quả đầu ra, không đánh giá lại năng lực hay cách làm việc. (P2-Core là phần đánh giá NĂNG LỰC &amp; CÁCH LÀM VIỆC mang tính nền tảng và dài hạn của nhân sự Công Nghệ.)</t>
  </si>
  <si>
    <t>Tiêu chí</t>
  </si>
  <si>
    <t>Điểm (Chưa đạt=1.5, Đạt=3.5, Tốt=5)</t>
  </si>
  <si>
    <t>Mức độ hoàn thành OKR</t>
  </si>
  <si>
    <t>Tỷ lệ hoàn thành các mục tiêu đã cam kết trong kỳ đánh giá</t>
  </si>
  <si>
    <t>Chất lượng kết quả</t>
  </si>
  <si>
    <t>Ít lỗi nghiêm trọng; hạn chế làm lại; không gây rủi ro hệ thống</t>
  </si>
  <si>
    <t>Cam kết &amp; tiến độ</t>
  </si>
  <si>
    <t>Hoàn thành đúng hạn; chủ động báo sớm rủi ro; phối hợp tốt</t>
  </si>
  <si>
    <t>P2-Delivery = Trung bình cộng các tiêu chí trên</t>
  </si>
  <si>
    <t>P2-Delivery</t>
  </si>
  <si>
    <t>MÔ TẢ NĂNG LỰC THEO VAI TRÒ</t>
  </si>
  <si>
    <t>Cấp độ 1</t>
  </si>
  <si>
    <t>Cấp độ 2</t>
  </si>
  <si>
    <t>Cấp độ 3</t>
  </si>
  <si>
    <t>P2 SUMMARY &amp; RANKING – BP CÔNG NGHỆ</t>
  </si>
  <si>
    <t>Nhập dữ liệu đánh giá của nhiều nhân sự để tự động xếp hạng. Cột 'Điểm P2' có thể nhập tay hoặc liên kết từ sheet role.</t>
  </si>
  <si>
    <t>STT</t>
  </si>
  <si>
    <t>Điểm P2</t>
  </si>
  <si>
    <t>Rank</t>
  </si>
  <si>
    <t>Ghi chú</t>
  </si>
  <si>
    <t>P2-Core</t>
  </si>
  <si>
    <t>OKR (P2-Delivery)</t>
  </si>
  <si>
    <t>Bùi Văn Hổ</t>
  </si>
  <si>
    <t>Designer, Frontend</t>
  </si>
  <si>
    <t>Nguyễn Huy Hoàng</t>
  </si>
  <si>
    <t>Backend, Frontend</t>
  </si>
  <si>
    <t>Đinh Tiến Chương</t>
  </si>
  <si>
    <t>Nguyễn Đăng Đức</t>
  </si>
  <si>
    <t>A. Năng lực kỹ thuật &amp; kiến trúc</t>
  </si>
  <si>
    <t>B. Ownership &amp; quản lý hệ thống</t>
  </si>
  <si>
    <t>C. Đảm bảo kết quả &amp; hiệu quả thực thi</t>
  </si>
  <si>
    <t>D. Đào tạo đội ngũ &amp; điều phối</t>
  </si>
  <si>
    <t>L4</t>
  </si>
  <si>
    <t>Cấp độ 4</t>
  </si>
  <si>
    <t>Trưởng phòng Công Nghệ</t>
  </si>
  <si>
    <t>Hiểu kiến trúc ở mức tổng quan; còn phụ thuộc vào ý kiến bên ngoài khi ra quyết định kỹ thuật quan trọng; chuẩn kỹ thuật chưa rõ hoặc thiếu nhất quán; hệ thống còn tiềm ẩn rủi ro.</t>
  </si>
  <si>
    <t>Chủ động thiết kế và định hướng kiến trúc hệ thống; định nghĩa chuẩn kỹ thuật, API, data model và baseline bảo mật/hiệu năng; ra quyết định kỹ thuật độc lập; hệ thống vận hành ổn định.</t>
  </si>
  <si>
    <t>Cải tiến và chuẩn hoá kiến trúc, nền tảng kỹ thuật dùng chung; giảm rủi ro dài hạn; nâng cao khả năng mở rộng, ổn định và bảo trì; định hướng kỹ thuật rõ ràng cho đội ngũ.</t>
  </si>
  <si>
    <t>Dẫn dắt định hướng kiến trúc ở cấp sản phẩm/hệ thống; xây dựng nền tảng kỹ thuật bền vững cho nhiều sản phẩm; tạo lợi thế công nghệ dài hạn và ảnh hưởng chiến lược đến tổ chức.</t>
  </si>
  <si>
    <t>Ownership chưa rõ; hệ thống hoặc dự án phụ thuộc cá nhân; quản lý vận hành bị động; phản ứng chậm khi có sự cố.</t>
  </si>
  <si>
    <t>Ownership và trách nhiệm được phân công rõ ràng; hệ thống được quản lý hiệu quả; chủ động theo dõi vận hành; xử lý kịp thời vấn đề phát sinh.</t>
  </si>
  <si>
    <t>Tối ưu mô hình quản lý và vận hành; chuẩn hoá quy trình; nâng cao mức độ tự chủ của hệ thống và đội ngũ; giảm rõ rệt rủi ro vận hành.</t>
  </si>
  <si>
    <t>Xây dựng hệ thống vận hành có khả năng tự kiểm soát; chủ động phòng ngừa rủi ro; mô hình quản lý trở thành chuẩn tham chiếu cho các đơn vị khác.</t>
  </si>
  <si>
    <t>Dự án thường chậm tiến độ, vượt phạm vi hoặc không đạt chất lượng cam kết; kết quả đầu ra thiếu ổn định; cần can thiệp từ cấp trên.</t>
  </si>
  <si>
    <t>Dự án đạt mục tiêu đã cam kết về phạm vi, tiến độ và chất lượng; chủ động kiểm soát rủi ro; kết quả đáp ứng yêu cầu kinh doanh và kỹ thuật.</t>
  </si>
  <si>
    <t>Không chỉ đạt mục tiêu mà còn nâng cao hiệu quả thực thi; tối ưu nguồn lực; cải thiện rõ rệt chất lượng, độ ổn định và tốc độ triển khai.</t>
  </si>
  <si>
    <t>Liên tục tạo ra kết quả vượt kỳ vọng; nâng cao hiệu quả tổng thể của phòng Công nghệ; đóng góp trực tiếp vào hiệu quả kinh doanh và chiến lược công ty.</t>
  </si>
  <si>
    <t>Phân công và điều phối chưa hiệu quả; đội ngũ phụ thuộc chỉ đạo trực tiếp; phối hợp liên phòng ban còn hạn chế.</t>
  </si>
  <si>
    <t>Tổ chức đội ngũ ổn định; phân công rõ ràng; đội ngũ làm việc chủ động; phối hợp tốt với các bộ phận liên quan.</t>
  </si>
  <si>
    <t>Xây dựng đội ngũ tự chủ; phát triển năng lực nhân sự theo định hướng dài hạn; chuẩn hoá cách làm; lan toả văn hoá làm việc hiệu quả.</t>
  </si>
  <si>
    <t>Dẫn dắt và phát triển đội ngũ có năng lực cao; tạo nguồn kế thừa; mô hình tổ chức và cách điều phối trở thành chuẩn.</t>
  </si>
  <si>
    <t>Gợi ý: dùng nút +/- (Outline) để thu gọn/mở rộng theo từng Vai trò. Cấp độ 1 – Thực thi theo chỉ đạo: Tổ chức và vận hành hoạt động bp Công Nghệ theo kế hoạch có sẵn | Cấp độ 2 – Chủ động chịu trách nhiệm: Đảm bảo hệ thống và dự án vận hành ổn định, đúng kế hoạch và mục tiêu đã cam kết. | Cấp độ 3 – Tối ưu &amp; cải tiến hệ thống: Giải quyết hiệu quả các vấn đề xuyên hệ thống; nâng cao chất lượng và hiệu quả tổng thể. | Cấp độ 4 – Chuẩn hoá &amp; dẫn dắt: Định hướng và chuẩn hoá kiến trúc, mở rộng</t>
  </si>
  <si>
    <t>Không chỉ đảm bảo vận hành mà còn chủ động tối ưu hệ thống, quy trình và cách làm; giải quyết hiệu quả các vấn đề xuyên hệ thống; nâng cao chất lượng và hiệu quả tổng thể.</t>
  </si>
  <si>
    <t xml:space="preserve">  • A. Năng lực kỹ thuật &amp; kiến trúc</t>
  </si>
  <si>
    <t xml:space="preserve">  • B. Ownership &amp; quản lý hệ thống</t>
  </si>
  <si>
    <t xml:space="preserve">  • C. Đảm bảo kết quả &amp; hiệu quả thực thi</t>
  </si>
  <si>
    <t xml:space="preserve">  • D. Đào tạo đội ngũ &amp; điều phối</t>
  </si>
  <si>
    <t>Mức (L1/L2/L3/L4)</t>
  </si>
  <si>
    <t>P2 PERFORMANCE EVALUATION – Lead Công Nghệ</t>
  </si>
  <si>
    <t>Tổ chức và vận hành hoạt động bộ phận Công Nghệ theo kế hoạch có sẵn; còn phụ thuộc vào chỉ đạo cấp trên; hệ thống và đội ngũ cần theo sát, hỗ trợ thường xuyên.</t>
  </si>
  <si>
    <t>Chủ động tổ chức, điều phối và chịu trách nhiệm các hoạt động của bộ phận Công Nghệ; đảm bảo hệ thống và dự án vận hành ổn định, đúng kế hoạch và mục tiêu đã cam kết.</t>
  </si>
  <si>
    <t>Extra: Định hướng và chuẩn hoá kiến trúc, cách làm và mô hình tổ chức; xây dựng đội ngũ tự chủ; mở rộng tác động ở cấp bộ phận hoặc toàn công 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</si>
</sst>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b/>
      <sz val="14"/>
      <name val="Calibri"/>
      <family val="2"/>
      <charset val="163"/>
    </font>
    <font>
      <b/>
      <sz val="11"/>
      <name val="Calibri"/>
      <family val="2"/>
      <charset val="163"/>
    </font>
    <font>
      <b/>
      <sz val="11"/>
      <color rgb="FFFFFFFF"/>
      <name val="Calibri"/>
      <family val="2"/>
      <charset val="163"/>
    </font>
    <font>
      <b/>
      <sz val="16"/>
      <color rgb="FFFFFFFF"/>
      <name val="Calibri"/>
    </font>
    <font>
      <i/>
      <sz val="10"/>
      <color rgb="FF404040"/>
      <name val="Calibri"/>
    </font>
    <font>
      <b/>
      <sz val="12"/>
      <color rgb="FFFFFFFF"/>
      <name val="Calibri"/>
    </font>
    <font>
      <b/>
      <sz val="11"/>
      <color rgb="FF1F1F1F"/>
      <name val="Calibri"/>
    </font>
    <font>
      <sz val="11"/>
      <color rgb="FF1F1F1F"/>
      <name val="Calibri"/>
    </font>
    <font>
      <sz val="11"/>
      <color rgb="FF1F1F1F"/>
      <name val="Calibri"/>
      <family val="2"/>
    </font>
    <font>
      <b/>
      <sz val="11"/>
      <color rgb="FF1F1F1F"/>
      <name val="Calibri"/>
    </font>
    <font>
      <b/>
      <sz val="18"/>
      <color rgb="FFFFFFFF"/>
      <name val="Calibri"/>
    </font>
    <font>
      <sz val="11"/>
      <color rgb="FF1F1F1F"/>
      <name val="Calibri"/>
    </font>
    <font>
      <b/>
      <sz val="14"/>
      <color rgb="FFFFFFFF"/>
      <name val="Calibri"/>
    </font>
    <font>
      <b/>
      <sz val="16"/>
      <color rgb="FFFFFFFF"/>
      <name val="Calibri"/>
    </font>
    <font>
      <b/>
      <sz val="11"/>
      <color rgb="FF1F1F1F"/>
      <name val="Calibri"/>
    </font>
    <font>
      <b/>
      <sz val="12"/>
      <color rgb="FF1F1F1F"/>
      <name val="Calibri"/>
    </font>
    <font>
      <b/>
      <sz val="11"/>
      <color rgb="FF1F1F1F"/>
      <name val="Calibri"/>
      <family val="2"/>
    </font>
    <font>
      <b/>
      <sz val="11"/>
      <color theme="0"/>
      <name val="Calibri"/>
      <family val="2"/>
    </font>
    <font>
      <sz val="8"/>
      <name val="Calibri"/>
      <family val="2"/>
      <scheme val="minor"/>
    </font>
  </fonts>
  <fills count="17">
    <fill>
      <patternFill patternType="none"/>
    </fill>
    <fill>
      <patternFill patternType="gray125"/>
    </fill>
    <fill>
      <patternFill patternType="solid">
        <fgColor rgb="FFE9EEF3"/>
      </patternFill>
    </fill>
    <fill>
      <patternFill patternType="solid">
        <fgColor rgb="FFF4F6F8"/>
      </patternFill>
    </fill>
    <fill>
      <patternFill patternType="solid">
        <fgColor rgb="FF111827"/>
      </patternFill>
    </fill>
    <fill>
      <patternFill patternType="solid">
        <fgColor rgb="FFFAFAFA"/>
      </patternFill>
    </fill>
    <fill>
      <patternFill patternType="solid">
        <fgColor rgb="FF1F4E79"/>
      </patternFill>
    </fill>
    <fill>
      <patternFill patternType="solid">
        <fgColor rgb="FF2F5597"/>
      </patternFill>
    </fill>
    <fill>
      <patternFill patternType="solid">
        <fgColor rgb="FFD9E1F2"/>
      </patternFill>
    </fill>
    <fill>
      <patternFill patternType="solid">
        <fgColor rgb="FFF2F2F2"/>
      </patternFill>
    </fill>
    <fill>
      <patternFill patternType="solid">
        <fgColor rgb="FFD9E1F2"/>
      </patternFill>
    </fill>
    <fill>
      <patternFill patternType="solid">
        <fgColor rgb="FF1F4E79"/>
      </patternFill>
    </fill>
    <fill>
      <patternFill patternType="solid">
        <fgColor rgb="FFFFFFFF"/>
      </patternFill>
    </fill>
    <fill>
      <patternFill patternType="solid">
        <fgColor rgb="FF2F5597"/>
      </patternFill>
    </fill>
    <fill>
      <patternFill patternType="solid">
        <fgColor rgb="FFD9E1F2"/>
      </patternFill>
    </fill>
    <fill>
      <patternFill patternType="solid">
        <fgColor rgb="FFF2F2F2"/>
      </patternFill>
    </fill>
    <fill>
      <patternFill patternType="solid">
        <fgColor theme="1"/>
        <bgColor indexed="64"/>
      </patternFill>
    </fill>
  </fills>
  <borders count="19">
    <border>
      <left/>
      <right/>
      <top/>
      <bottom/>
      <diagonal/>
    </border>
    <border>
      <left style="thin">
        <color rgb="FFC9CDD2"/>
      </left>
      <right style="thin">
        <color rgb="FFC9CDD2"/>
      </right>
      <top style="thin">
        <color rgb="FFC9CDD2"/>
      </top>
      <bottom style="thin">
        <color rgb="FFC9CDD2"/>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rgb="FFBFBFBF"/>
      </left>
      <right style="thin">
        <color rgb="FFBFBFBF"/>
      </right>
      <top/>
      <bottom style="thin">
        <color rgb="FFBFBFBF"/>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rgb="FFBFBFBF"/>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72">
    <xf numFmtId="0" fontId="0" fillId="0" borderId="0" xfId="0"/>
    <xf numFmtId="0" fontId="0" fillId="0" borderId="0" xfId="0" applyAlignment="1">
      <alignment horizontal="left" vertical="center" wrapText="1"/>
    </xf>
    <xf numFmtId="0" fontId="2"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2" fillId="0" borderId="0" xfId="0" applyFont="1" applyAlignment="1">
      <alignment horizontal="left"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7" fillId="8" borderId="2" xfId="0" applyFont="1" applyFill="1" applyBorder="1" applyAlignment="1">
      <alignment horizontal="center" vertical="center" wrapText="1"/>
    </xf>
    <xf numFmtId="0" fontId="9" fillId="0" borderId="2" xfId="0" applyFont="1" applyBorder="1" applyAlignment="1">
      <alignment horizontal="left" vertical="top" wrapText="1"/>
    </xf>
    <xf numFmtId="0" fontId="10" fillId="10" borderId="0" xfId="0" applyFont="1" applyFill="1" applyAlignment="1">
      <alignment horizontal="center" vertical="center" wrapText="1"/>
    </xf>
    <xf numFmtId="2" fontId="0" fillId="0" borderId="0" xfId="0" applyNumberFormat="1"/>
    <xf numFmtId="0" fontId="15" fillId="14" borderId="3" xfId="0" applyFont="1" applyFill="1" applyBorder="1" applyAlignment="1">
      <alignment horizontal="center" vertical="center" wrapText="1"/>
    </xf>
    <xf numFmtId="0" fontId="12" fillId="12" borderId="3" xfId="0" applyFont="1" applyFill="1" applyBorder="1" applyAlignment="1">
      <alignment horizontal="center" vertical="center" wrapText="1"/>
    </xf>
    <xf numFmtId="0" fontId="15" fillId="14" borderId="0" xfId="0" applyFont="1" applyFill="1" applyAlignment="1">
      <alignment horizontal="center" vertical="center" wrapText="1"/>
    </xf>
    <xf numFmtId="0" fontId="12" fillId="0" borderId="3" xfId="0" applyFont="1" applyBorder="1" applyAlignment="1">
      <alignment horizontal="left" vertical="center" wrapText="1"/>
    </xf>
    <xf numFmtId="0" fontId="12" fillId="0" borderId="3" xfId="0" applyFont="1" applyBorder="1" applyAlignment="1">
      <alignment horizontal="center" vertical="center" wrapText="1"/>
    </xf>
    <xf numFmtId="0" fontId="15" fillId="0" borderId="4" xfId="0" applyFont="1" applyBorder="1" applyAlignment="1">
      <alignment horizontal="left" vertical="center" wrapText="1"/>
    </xf>
    <xf numFmtId="0" fontId="17" fillId="0" borderId="4" xfId="0" applyFont="1" applyBorder="1" applyAlignment="1">
      <alignment horizontal="left" vertical="center" wrapText="1"/>
    </xf>
    <xf numFmtId="0" fontId="0" fillId="5" borderId="4" xfId="0" applyFill="1" applyBorder="1" applyAlignment="1">
      <alignment horizontal="center" vertical="center" wrapText="1"/>
    </xf>
    <xf numFmtId="0" fontId="2" fillId="2" borderId="11" xfId="0" applyFont="1" applyFill="1" applyBorder="1" applyAlignment="1">
      <alignment horizontal="center" vertical="center" wrapText="1"/>
    </xf>
    <xf numFmtId="0" fontId="15" fillId="14" borderId="12" xfId="0" applyFont="1" applyFill="1" applyBorder="1" applyAlignment="1">
      <alignment horizontal="center" vertical="center" wrapText="1"/>
    </xf>
    <xf numFmtId="0" fontId="12" fillId="0" borderId="0" xfId="0" applyFont="1" applyAlignment="1">
      <alignment horizontal="left" vertical="top" wrapText="1"/>
    </xf>
    <xf numFmtId="0" fontId="0" fillId="0" borderId="10" xfId="0" applyBorder="1"/>
    <xf numFmtId="0" fontId="0" fillId="0" borderId="14" xfId="0" applyBorder="1"/>
    <xf numFmtId="0" fontId="12" fillId="12" borderId="0" xfId="0" applyFont="1" applyFill="1" applyAlignment="1">
      <alignment horizontal="left" vertical="top" wrapText="1"/>
    </xf>
    <xf numFmtId="0" fontId="0" fillId="0" borderId="0" xfId="0"/>
    <xf numFmtId="0" fontId="11" fillId="11" borderId="0" xfId="0" applyFont="1" applyFill="1" applyAlignment="1">
      <alignment horizontal="center" vertical="center" wrapText="1"/>
    </xf>
    <xf numFmtId="0" fontId="13" fillId="13" borderId="0" xfId="0" applyFont="1" applyFill="1" applyAlignment="1">
      <alignment horizontal="left" vertical="top" wrapText="1"/>
    </xf>
    <xf numFmtId="0" fontId="9" fillId="12" borderId="0" xfId="0" applyFont="1" applyFill="1" applyAlignment="1">
      <alignment horizontal="left" vertical="top" wrapText="1"/>
    </xf>
    <xf numFmtId="0" fontId="14" fillId="11" borderId="0" xfId="0" applyFont="1" applyFill="1" applyAlignment="1">
      <alignment horizontal="center" vertical="center" wrapText="1"/>
    </xf>
    <xf numFmtId="0" fontId="12" fillId="0" borderId="13" xfId="0" applyFont="1" applyBorder="1" applyAlignment="1">
      <alignment horizontal="left" vertical="top" wrapText="1"/>
    </xf>
    <xf numFmtId="0" fontId="0" fillId="0" borderId="13" xfId="0" applyBorder="1"/>
    <xf numFmtId="0" fontId="13" fillId="13" borderId="11" xfId="0" applyFont="1" applyFill="1" applyBorder="1" applyAlignment="1">
      <alignment horizontal="left" vertical="center" wrapText="1"/>
    </xf>
    <xf numFmtId="0" fontId="0" fillId="0" borderId="6" xfId="0" applyBorder="1"/>
    <xf numFmtId="0" fontId="0" fillId="0" borderId="7" xfId="0" applyBorder="1"/>
    <xf numFmtId="0" fontId="12" fillId="0" borderId="13" xfId="0" applyFont="1" applyBorder="1" applyAlignment="1">
      <alignment horizontal="left" vertical="center" wrapText="1"/>
    </xf>
    <xf numFmtId="0" fontId="16" fillId="12" borderId="17" xfId="0" applyFont="1" applyFill="1" applyBorder="1" applyAlignment="1">
      <alignment horizontal="center" vertical="center" wrapText="1"/>
    </xf>
    <xf numFmtId="0" fontId="0" fillId="0" borderId="9" xfId="0" applyBorder="1"/>
    <xf numFmtId="0" fontId="0" fillId="0" borderId="15" xfId="0" applyBorder="1"/>
    <xf numFmtId="0" fontId="12" fillId="0" borderId="0" xfId="0" applyFont="1" applyAlignment="1">
      <alignment horizontal="left" vertical="center" wrapText="1"/>
    </xf>
    <xf numFmtId="0" fontId="15" fillId="14" borderId="11" xfId="0" applyFont="1" applyFill="1" applyBorder="1" applyAlignment="1">
      <alignment horizontal="left" vertical="center" wrapText="1"/>
    </xf>
    <xf numFmtId="0" fontId="12" fillId="0" borderId="15" xfId="0" applyFont="1" applyBorder="1" applyAlignment="1">
      <alignment horizontal="left" vertical="center" wrapText="1"/>
    </xf>
    <xf numFmtId="0" fontId="15" fillId="0" borderId="0" xfId="0" applyFont="1" applyAlignment="1">
      <alignment horizontal="left" vertical="center" wrapText="1"/>
    </xf>
    <xf numFmtId="0" fontId="12" fillId="0" borderId="15" xfId="0" applyFont="1" applyBorder="1" applyAlignment="1">
      <alignment horizontal="left" vertical="top" wrapText="1"/>
    </xf>
    <xf numFmtId="0" fontId="13" fillId="13" borderId="16" xfId="0" applyFont="1" applyFill="1" applyBorder="1" applyAlignment="1">
      <alignment horizontal="left" vertical="center" wrapText="1"/>
    </xf>
    <xf numFmtId="0" fontId="0" fillId="0" borderId="16" xfId="0" applyBorder="1"/>
    <xf numFmtId="0" fontId="7" fillId="15" borderId="18" xfId="0" applyFont="1" applyFill="1" applyBorder="1" applyAlignment="1">
      <alignment horizontal="left" vertical="center" wrapText="1"/>
    </xf>
    <xf numFmtId="0" fontId="12" fillId="12" borderId="18" xfId="0" applyFont="1" applyFill="1" applyBorder="1" applyAlignment="1">
      <alignment horizontal="left" vertical="center" wrapText="1"/>
    </xf>
    <xf numFmtId="0" fontId="13" fillId="13" borderId="0" xfId="0" applyFont="1" applyFill="1" applyAlignment="1">
      <alignment horizontal="left" vertical="center" wrapText="1"/>
    </xf>
    <xf numFmtId="0" fontId="15" fillId="14" borderId="18" xfId="0" applyFont="1" applyFill="1" applyBorder="1" applyAlignment="1">
      <alignment horizontal="left" vertical="center" wrapText="1"/>
    </xf>
    <xf numFmtId="0" fontId="7" fillId="15" borderId="11" xfId="0" applyFont="1" applyFill="1" applyBorder="1" applyAlignment="1">
      <alignment horizontal="left" vertical="center" wrapText="1"/>
    </xf>
    <xf numFmtId="0" fontId="1" fillId="0" borderId="0" xfId="0" applyFont="1" applyAlignment="1">
      <alignment horizontal="center" vertical="center" wrapText="1"/>
    </xf>
    <xf numFmtId="0" fontId="7" fillId="15" borderId="4" xfId="0" applyFont="1" applyFill="1" applyBorder="1" applyAlignment="1">
      <alignment horizontal="left" vertical="center" wrapText="1"/>
    </xf>
    <xf numFmtId="0" fontId="0" fillId="0" borderId="8" xfId="0" applyBorder="1"/>
    <xf numFmtId="0" fontId="0" fillId="0" borderId="5" xfId="0" applyBorder="1"/>
    <xf numFmtId="2" fontId="12" fillId="0" borderId="4" xfId="0" applyNumberFormat="1" applyFont="1" applyBorder="1" applyAlignment="1">
      <alignment horizontal="center" vertical="center" wrapText="1"/>
    </xf>
    <xf numFmtId="0" fontId="3" fillId="4" borderId="0" xfId="0" applyFont="1" applyFill="1" applyAlignment="1">
      <alignment horizontal="left" vertical="center" wrapText="1"/>
    </xf>
    <xf numFmtId="0" fontId="18" fillId="16" borderId="4" xfId="0" applyFont="1" applyFill="1" applyBorder="1" applyAlignment="1">
      <alignment horizontal="left" vertical="center" wrapText="1"/>
    </xf>
    <xf numFmtId="0" fontId="0" fillId="0" borderId="0" xfId="0" applyAlignment="1">
      <alignment horizontal="left" vertical="center" wrapText="1"/>
    </xf>
    <xf numFmtId="0" fontId="2" fillId="2" borderId="10" xfId="0" applyFont="1" applyFill="1" applyBorder="1" applyAlignment="1">
      <alignment horizontal="center" vertical="center" wrapText="1"/>
    </xf>
    <xf numFmtId="0" fontId="0" fillId="5" borderId="4" xfId="0" applyFill="1" applyBorder="1" applyAlignment="1">
      <alignment horizontal="left" vertical="center" wrapText="1"/>
    </xf>
    <xf numFmtId="0" fontId="12" fillId="0" borderId="4" xfId="0" applyFont="1" applyBorder="1" applyAlignment="1">
      <alignment horizontal="left" vertical="top" wrapText="1"/>
    </xf>
    <xf numFmtId="0" fontId="4" fillId="6" borderId="0" xfId="0" applyFont="1" applyFill="1" applyAlignment="1">
      <alignment horizontal="center" vertical="center"/>
    </xf>
    <xf numFmtId="0" fontId="7" fillId="8" borderId="0" xfId="0" applyFont="1" applyFill="1" applyBorder="1" applyAlignment="1">
      <alignment horizontal="center" vertical="center" wrapText="1"/>
    </xf>
    <xf numFmtId="0" fontId="9" fillId="0" borderId="0" xfId="0" applyFont="1" applyBorder="1" applyAlignment="1">
      <alignment horizontal="left" vertical="top" wrapText="1"/>
    </xf>
    <xf numFmtId="0" fontId="6" fillId="7" borderId="0" xfId="0" applyFont="1" applyFill="1" applyAlignment="1">
      <alignment horizontal="center" vertical="center" wrapText="1"/>
    </xf>
    <xf numFmtId="0" fontId="17" fillId="9" borderId="2" xfId="0" applyFont="1" applyFill="1" applyBorder="1" applyAlignment="1">
      <alignment horizontal="left" vertical="center" wrapText="1"/>
    </xf>
    <xf numFmtId="0" fontId="5" fillId="0" borderId="0" xfId="0" applyFont="1" applyAlignment="1">
      <alignment horizontal="center" vertical="center" wrapText="1"/>
    </xf>
    <xf numFmtId="0" fontId="8" fillId="0" borderId="13" xfId="0" applyFont="1" applyBorder="1" applyAlignment="1">
      <alignment horizontal="left" vertical="center" wrapText="1"/>
    </xf>
    <xf numFmtId="0" fontId="8" fillId="0" borderId="15" xfId="0" applyFont="1" applyBorder="1" applyAlignment="1">
      <alignment horizontal="left" vertical="center" wrapText="1"/>
    </xf>
    <xf numFmtId="0" fontId="8" fillId="0" borderId="0" xfId="0" applyFont="1" applyAlignment="1">
      <alignment horizontal="left" vertical="center" wrapText="1"/>
    </xf>
  </cellXfs>
  <cellStyles count="1">
    <cellStyle name="Normal" xfId="0" builtinId="0"/>
  </cellStyles>
  <dxfs count="14">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DCFCE7"/>
        </patternFill>
      </fill>
    </dxf>
    <dxf>
      <fill>
        <patternFill>
          <bgColor rgb="FFFEF9C3"/>
        </patternFill>
      </fill>
    </dxf>
    <dxf>
      <fill>
        <patternFill>
          <bgColor rgb="FFFFEDD5"/>
        </patternFill>
      </fill>
    </dxf>
    <dxf>
      <fill>
        <patternFill>
          <bgColor rgb="FFFEE2E2"/>
        </patternFill>
      </fill>
    </dxf>
    <dxf>
      <fill>
        <patternFill>
          <bgColor rgb="FFBBF7D0"/>
        </patternFill>
      </fill>
    </dxf>
    <dxf>
      <fill>
        <patternFill>
          <bgColor rgb="FFDCFCE7"/>
        </patternFill>
      </fill>
    </dxf>
    <dxf>
      <fill>
        <patternFill>
          <bgColor rgb="FFFEF9C3"/>
        </patternFill>
      </fill>
    </dxf>
    <dxf>
      <fill>
        <patternFill>
          <bgColor rgb="FFFFEDD5"/>
        </patternFill>
      </fill>
    </dxf>
    <dxf>
      <fill>
        <patternFill>
          <bgColor rgb="FFFEE2E2"/>
        </patternFill>
      </fill>
    </dxf>
    <dxf>
      <font>
        <b val="0"/>
        <i val="0"/>
        <strike val="0"/>
        <condense val="0"/>
        <extend val="0"/>
        <outline val="0"/>
        <shadow val="0"/>
        <u val="none"/>
        <vertAlign val="baseline"/>
        <sz val="11"/>
        <color rgb="FF1F1F1F"/>
        <name val="Calibri"/>
        <family val="2"/>
        <scheme val="none"/>
      </font>
      <alignment horizontal="left"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Levels_Backend_1" displayName="Levels_Backend_1" ref="A5:E9">
  <autoFilter ref="A5:E9" xr:uid="{00000000-0009-0000-0100-000001000000}"/>
  <tableColumns count="5">
    <tableColumn id="1" xr3:uid="{00000000-0010-0000-0000-000001000000}" name="Nhóm năng lực"/>
    <tableColumn id="2" xr3:uid="{00000000-0010-0000-0000-000002000000}" name="Cấp độ 1"/>
    <tableColumn id="3" xr3:uid="{00000000-0010-0000-0000-000003000000}" name="Cấp độ 2"/>
    <tableColumn id="4" xr3:uid="{00000000-0010-0000-0000-000004000000}" name="Cấp độ 3"/>
    <tableColumn id="5" xr3:uid="{A226E658-ADDC-4CC1-BA22-7F80BD1963B4}" name="Cấp độ 4" dataDxfId="13"/>
  </tableColumns>
  <tableStyleInfo name="TableStyleMedium9"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a:srgbClr val="000000">
                <a:alpha val="38000"/>
              </a:srgbClr>
            </a:outerShdw>
          </a:effectLst>
        </a:effectStyle>
        <a:effectStyle>
          <a:effectLst>
            <a:outerShdw blurRad="40000" dist="23000" dir="5400000">
              <a:srgbClr val="000000">
                <a:alpha val="35000"/>
              </a:srgbClr>
            </a:outerShdw>
          </a:effectLst>
        </a:effectStyle>
        <a:effectStyle>
          <a:effectLst>
            <a:outerShdw blurRad="40000" dist="23000" dir="540000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workbookViewId="0">
      <pane ySplit="1" topLeftCell="A2" activePane="bottomLeft" state="frozen"/>
      <selection pane="bottomLeft" activeCell="B9" sqref="B9"/>
    </sheetView>
  </sheetViews>
  <sheetFormatPr defaultRowHeight="14.4" x14ac:dyDescent="0.3"/>
  <cols>
    <col min="1" max="5" width="20" customWidth="1"/>
  </cols>
  <sheetData>
    <row r="1" spans="1:5" ht="40.049999999999997" customHeight="1" x14ac:dyDescent="0.3">
      <c r="A1" s="27" t="s">
        <v>0</v>
      </c>
      <c r="B1" s="26"/>
      <c r="C1" s="26"/>
      <c r="D1" s="26"/>
      <c r="E1" s="26"/>
    </row>
    <row r="3" spans="1:5" ht="79.95" customHeight="1" x14ac:dyDescent="0.3">
      <c r="A3" s="29" t="s">
        <v>1</v>
      </c>
      <c r="B3" s="26"/>
      <c r="C3" s="26"/>
      <c r="D3" s="26"/>
      <c r="E3" s="26"/>
    </row>
    <row r="5" spans="1:5" ht="25.05" customHeight="1" x14ac:dyDescent="0.3">
      <c r="A5" s="28" t="s">
        <v>2</v>
      </c>
      <c r="B5" s="26"/>
      <c r="C5" s="26"/>
      <c r="D5" s="26"/>
      <c r="E5" s="26"/>
    </row>
    <row r="6" spans="1:5" ht="60" customHeight="1" x14ac:dyDescent="0.3">
      <c r="A6" s="25" t="s">
        <v>3</v>
      </c>
      <c r="B6" s="26"/>
      <c r="C6" s="26"/>
      <c r="D6" s="26"/>
      <c r="E6" s="26"/>
    </row>
  </sheetData>
  <mergeCells count="4">
    <mergeCell ref="A6:E6"/>
    <mergeCell ref="A1:E1"/>
    <mergeCell ref="A5:E5"/>
    <mergeCell ref="A3:E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2"/>
  <sheetViews>
    <sheetView workbookViewId="0">
      <pane ySplit="1" topLeftCell="A18" activePane="bottomLeft" state="frozen"/>
      <selection pane="bottomLeft" activeCell="C43" sqref="C43"/>
    </sheetView>
  </sheetViews>
  <sheetFormatPr defaultRowHeight="14.4" x14ac:dyDescent="0.3"/>
  <cols>
    <col min="1" max="1" width="25" customWidth="1"/>
    <col min="2" max="4" width="30" customWidth="1"/>
  </cols>
  <sheetData>
    <row r="1" spans="1:4" ht="34.950000000000003" customHeight="1" x14ac:dyDescent="0.3">
      <c r="A1" s="30" t="s">
        <v>4</v>
      </c>
      <c r="B1" s="26"/>
      <c r="C1" s="26"/>
      <c r="D1" s="26"/>
    </row>
    <row r="3" spans="1:4" ht="25.05" customHeight="1" x14ac:dyDescent="0.3">
      <c r="A3" s="33" t="s">
        <v>5</v>
      </c>
      <c r="B3" s="34"/>
      <c r="C3" s="34"/>
      <c r="D3" s="35"/>
    </row>
    <row r="4" spans="1:4" ht="19.95" customHeight="1" x14ac:dyDescent="0.3">
      <c r="A4" s="50" t="s">
        <v>6</v>
      </c>
      <c r="B4" s="26"/>
      <c r="C4" s="26"/>
      <c r="D4" s="32"/>
    </row>
    <row r="5" spans="1:4" ht="19.95" customHeight="1" x14ac:dyDescent="0.3">
      <c r="A5" s="47" t="s">
        <v>7</v>
      </c>
      <c r="B5" s="26"/>
      <c r="C5" s="26"/>
      <c r="D5" s="32"/>
    </row>
    <row r="6" spans="1:4" ht="18" customHeight="1" x14ac:dyDescent="0.3">
      <c r="A6" s="23"/>
      <c r="B6" s="69" t="s">
        <v>108</v>
      </c>
      <c r="C6" s="26"/>
      <c r="D6" s="32"/>
    </row>
    <row r="7" spans="1:4" ht="18" customHeight="1" x14ac:dyDescent="0.3">
      <c r="A7" s="23"/>
      <c r="B7" s="69" t="s">
        <v>109</v>
      </c>
      <c r="C7" s="26"/>
      <c r="D7" s="32"/>
    </row>
    <row r="8" spans="1:4" ht="18" customHeight="1" x14ac:dyDescent="0.3">
      <c r="A8" s="23"/>
      <c r="B8" s="69" t="s">
        <v>110</v>
      </c>
      <c r="C8" s="26"/>
      <c r="D8" s="32"/>
    </row>
    <row r="9" spans="1:4" ht="18" customHeight="1" x14ac:dyDescent="0.3">
      <c r="A9" s="24"/>
      <c r="B9" s="70" t="s">
        <v>111</v>
      </c>
      <c r="C9" s="38"/>
      <c r="D9" s="39"/>
    </row>
    <row r="11" spans="1:4" ht="19.95" customHeight="1" x14ac:dyDescent="0.3">
      <c r="A11" s="51" t="s">
        <v>8</v>
      </c>
      <c r="B11" s="34"/>
      <c r="C11" s="34"/>
      <c r="D11" s="35"/>
    </row>
    <row r="12" spans="1:4" ht="18" customHeight="1" x14ac:dyDescent="0.3">
      <c r="A12" s="23"/>
      <c r="B12" s="36" t="s">
        <v>9</v>
      </c>
      <c r="C12" s="26"/>
      <c r="D12" s="32"/>
    </row>
    <row r="13" spans="1:4" ht="18" customHeight="1" x14ac:dyDescent="0.3">
      <c r="A13" s="24"/>
      <c r="B13" s="42" t="s">
        <v>10</v>
      </c>
      <c r="C13" s="38"/>
      <c r="D13" s="39"/>
    </row>
    <row r="16" spans="1:4" ht="25.05" customHeight="1" x14ac:dyDescent="0.3">
      <c r="A16" s="33" t="s">
        <v>11</v>
      </c>
      <c r="B16" s="34"/>
      <c r="C16" s="34"/>
      <c r="D16" s="35"/>
    </row>
    <row r="17" spans="1:4" ht="22.05" customHeight="1" x14ac:dyDescent="0.3">
      <c r="A17" s="48" t="s">
        <v>12</v>
      </c>
      <c r="B17" s="26"/>
      <c r="C17" s="26"/>
      <c r="D17" s="32"/>
    </row>
    <row r="18" spans="1:4" ht="30" customHeight="1" x14ac:dyDescent="0.3">
      <c r="A18" s="37" t="s">
        <v>13</v>
      </c>
      <c r="B18" s="38"/>
      <c r="C18" s="38"/>
      <c r="D18" s="39"/>
    </row>
    <row r="19" spans="1:4" ht="19.95" customHeight="1" x14ac:dyDescent="0.3">
      <c r="A19" s="43" t="s">
        <v>14</v>
      </c>
      <c r="B19" s="26"/>
      <c r="C19" s="26"/>
      <c r="D19" s="26"/>
    </row>
    <row r="20" spans="1:4" ht="18" customHeight="1" x14ac:dyDescent="0.3">
      <c r="A20" s="71" t="s">
        <v>15</v>
      </c>
      <c r="B20" s="26"/>
      <c r="C20" s="26"/>
      <c r="D20" s="26"/>
    </row>
    <row r="21" spans="1:4" ht="18" customHeight="1" x14ac:dyDescent="0.3">
      <c r="A21" s="40" t="s">
        <v>16</v>
      </c>
      <c r="B21" s="26"/>
      <c r="C21" s="26"/>
      <c r="D21" s="26"/>
    </row>
    <row r="23" spans="1:4" ht="25.05" customHeight="1" x14ac:dyDescent="0.3">
      <c r="A23" s="49" t="s">
        <v>17</v>
      </c>
      <c r="B23" s="26"/>
      <c r="C23" s="26"/>
      <c r="D23" s="26"/>
    </row>
    <row r="24" spans="1:4" ht="19.95" customHeight="1" x14ac:dyDescent="0.3">
      <c r="A24" s="41" t="s">
        <v>18</v>
      </c>
      <c r="B24" s="34"/>
      <c r="C24" s="34"/>
      <c r="D24" s="35"/>
    </row>
    <row r="25" spans="1:4" ht="19.95" customHeight="1" x14ac:dyDescent="0.3">
      <c r="A25" s="23"/>
      <c r="B25" s="31" t="s">
        <v>19</v>
      </c>
      <c r="C25" s="26"/>
      <c r="D25" s="32"/>
    </row>
    <row r="26" spans="1:4" ht="19.95" customHeight="1" x14ac:dyDescent="0.3">
      <c r="A26" s="23"/>
      <c r="B26" s="31" t="s">
        <v>20</v>
      </c>
      <c r="C26" s="26"/>
      <c r="D26" s="32"/>
    </row>
    <row r="27" spans="1:4" ht="19.95" customHeight="1" x14ac:dyDescent="0.3">
      <c r="A27" s="24"/>
      <c r="B27" s="44" t="s">
        <v>21</v>
      </c>
      <c r="C27" s="38"/>
      <c r="D27" s="39"/>
    </row>
    <row r="29" spans="1:4" ht="19.95" customHeight="1" x14ac:dyDescent="0.3">
      <c r="A29" s="41" t="s">
        <v>22</v>
      </c>
      <c r="B29" s="34"/>
      <c r="C29" s="34"/>
      <c r="D29" s="35"/>
    </row>
    <row r="30" spans="1:4" ht="34.200000000000003" customHeight="1" x14ac:dyDescent="0.3">
      <c r="A30" s="24"/>
      <c r="B30" s="44" t="s">
        <v>23</v>
      </c>
      <c r="C30" s="38"/>
      <c r="D30" s="39"/>
    </row>
    <row r="32" spans="1:4" ht="19.95" customHeight="1" x14ac:dyDescent="0.3">
      <c r="A32" s="41" t="s">
        <v>24</v>
      </c>
      <c r="B32" s="34"/>
      <c r="C32" s="34"/>
      <c r="D32" s="35"/>
    </row>
    <row r="33" spans="1:4" ht="19.95" customHeight="1" x14ac:dyDescent="0.3">
      <c r="A33" s="23"/>
      <c r="B33" s="31" t="s">
        <v>25</v>
      </c>
      <c r="C33" s="26"/>
      <c r="D33" s="32"/>
    </row>
    <row r="34" spans="1:4" ht="19.95" customHeight="1" x14ac:dyDescent="0.3">
      <c r="A34" s="24"/>
      <c r="B34" s="44" t="s">
        <v>26</v>
      </c>
      <c r="C34" s="38"/>
      <c r="D34" s="39"/>
    </row>
    <row r="37" spans="1:4" ht="25.05" customHeight="1" x14ac:dyDescent="0.3">
      <c r="A37" s="45" t="s">
        <v>27</v>
      </c>
      <c r="B37" s="46"/>
    </row>
    <row r="38" spans="1:4" ht="19.95" customHeight="1" x14ac:dyDescent="0.3">
      <c r="A38" s="12" t="s">
        <v>28</v>
      </c>
      <c r="B38" s="12" t="s">
        <v>29</v>
      </c>
    </row>
    <row r="39" spans="1:4" ht="19.95" customHeight="1" x14ac:dyDescent="0.3">
      <c r="A39" s="13" t="s">
        <v>30</v>
      </c>
      <c r="B39" s="13" t="s">
        <v>31</v>
      </c>
    </row>
    <row r="40" spans="1:4" ht="19.95" customHeight="1" x14ac:dyDescent="0.3">
      <c r="A40" s="13" t="s">
        <v>32</v>
      </c>
      <c r="B40" s="13" t="s">
        <v>33</v>
      </c>
    </row>
    <row r="41" spans="1:4" ht="19.95" customHeight="1" x14ac:dyDescent="0.3">
      <c r="A41" s="13" t="s">
        <v>34</v>
      </c>
      <c r="B41" s="13" t="s">
        <v>35</v>
      </c>
    </row>
    <row r="42" spans="1:4" ht="19.95" customHeight="1" x14ac:dyDescent="0.3">
      <c r="A42" s="13" t="s">
        <v>36</v>
      </c>
      <c r="B42" s="13" t="s">
        <v>37</v>
      </c>
    </row>
  </sheetData>
  <mergeCells count="28">
    <mergeCell ref="A29:D29"/>
    <mergeCell ref="B13:D13"/>
    <mergeCell ref="A19:D19"/>
    <mergeCell ref="B34:D34"/>
    <mergeCell ref="A37:B37"/>
    <mergeCell ref="A24:D24"/>
    <mergeCell ref="B30:D30"/>
    <mergeCell ref="B33:D33"/>
    <mergeCell ref="B27:D27"/>
    <mergeCell ref="A32:D32"/>
    <mergeCell ref="A17:D17"/>
    <mergeCell ref="A23:D23"/>
    <mergeCell ref="A20:D20"/>
    <mergeCell ref="A1:D1"/>
    <mergeCell ref="B26:D26"/>
    <mergeCell ref="A16:D16"/>
    <mergeCell ref="B7:D7"/>
    <mergeCell ref="B25:D25"/>
    <mergeCell ref="A18:D18"/>
    <mergeCell ref="A3:D3"/>
    <mergeCell ref="A21:D21"/>
    <mergeCell ref="B12:D12"/>
    <mergeCell ref="A5:D5"/>
    <mergeCell ref="A4:D4"/>
    <mergeCell ref="B8:D8"/>
    <mergeCell ref="B9:D9"/>
    <mergeCell ref="A11:D11"/>
    <mergeCell ref="B6:D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1"/>
  <sheetViews>
    <sheetView workbookViewId="0">
      <selection activeCell="E25" sqref="E25"/>
    </sheetView>
  </sheetViews>
  <sheetFormatPr defaultRowHeight="14.4" x14ac:dyDescent="0.3"/>
  <cols>
    <col min="1" max="1" width="34" customWidth="1"/>
    <col min="2" max="2" width="40" customWidth="1"/>
    <col min="3" max="3" width="15" customWidth="1"/>
    <col min="4" max="4" width="16" customWidth="1"/>
    <col min="5" max="5" width="44" customWidth="1"/>
  </cols>
  <sheetData>
    <row r="1" spans="1:5" ht="28.05" customHeight="1" x14ac:dyDescent="0.3">
      <c r="A1" s="52" t="s">
        <v>113</v>
      </c>
      <c r="B1" s="26"/>
      <c r="C1" s="26"/>
      <c r="D1" s="26"/>
      <c r="E1" s="26"/>
    </row>
    <row r="3" spans="1:5" ht="19.95" customHeight="1" x14ac:dyDescent="0.3">
      <c r="A3" s="5" t="s">
        <v>38</v>
      </c>
      <c r="B3" s="59"/>
      <c r="C3" s="26"/>
      <c r="D3" s="5" t="s">
        <v>39</v>
      </c>
      <c r="E3" s="59"/>
    </row>
    <row r="4" spans="1:5" ht="19.95" customHeight="1" x14ac:dyDescent="0.3">
      <c r="A4" s="5" t="s">
        <v>40</v>
      </c>
      <c r="B4" s="59"/>
      <c r="C4" s="26"/>
      <c r="D4" s="5" t="s">
        <v>41</v>
      </c>
      <c r="E4" s="1"/>
    </row>
    <row r="6" spans="1:5" ht="28.8" x14ac:dyDescent="0.3">
      <c r="A6" s="2" t="s">
        <v>42</v>
      </c>
      <c r="B6" s="2" t="s">
        <v>43</v>
      </c>
      <c r="C6" s="2" t="s">
        <v>112</v>
      </c>
      <c r="D6" s="2" t="s">
        <v>44</v>
      </c>
      <c r="E6" s="2" t="s">
        <v>45</v>
      </c>
    </row>
    <row r="7" spans="1:5" x14ac:dyDescent="0.3">
      <c r="A7" s="4" t="s">
        <v>83</v>
      </c>
      <c r="B7" s="3">
        <v>30</v>
      </c>
      <c r="C7" s="3"/>
      <c r="D7" s="3" t="str">
        <f>IF(C7="","",B7*IF(C7="L1",1.5,IF(C7="L2",3.5,IF(C7="L3",5,0)))/100)</f>
        <v/>
      </c>
      <c r="E7" s="4"/>
    </row>
    <row r="8" spans="1:5" x14ac:dyDescent="0.3">
      <c r="A8" s="4" t="s">
        <v>84</v>
      </c>
      <c r="B8" s="3">
        <v>20</v>
      </c>
      <c r="C8" s="3"/>
      <c r="D8" s="3" t="str">
        <f>IF(C8="","",B8*IF(C8="L1",1.5,IF(C8="L2",3.5,IF(C8="L3",5,0)))/100)</f>
        <v/>
      </c>
      <c r="E8" s="4"/>
    </row>
    <row r="9" spans="1:5" x14ac:dyDescent="0.3">
      <c r="A9" s="4" t="s">
        <v>85</v>
      </c>
      <c r="B9" s="3">
        <v>30</v>
      </c>
      <c r="C9" s="3"/>
      <c r="D9" s="3" t="str">
        <f>IF(C9="","",B9*IF(C9="L1",1.5,IF(C9="L2",3.5,IF(C9="L3",5,0)))/100)</f>
        <v/>
      </c>
      <c r="E9" s="4"/>
    </row>
    <row r="10" spans="1:5" x14ac:dyDescent="0.3">
      <c r="A10" s="4" t="s">
        <v>86</v>
      </c>
      <c r="B10" s="3">
        <v>20</v>
      </c>
      <c r="C10" s="3"/>
      <c r="D10" s="3" t="str">
        <f>IF(C10="","",B10*IF(C10="L1",1.5,IF(C10="L2",3.5,IF(C10="L3",5,0)))/100)</f>
        <v/>
      </c>
      <c r="E10" s="4"/>
    </row>
    <row r="11" spans="1:5" x14ac:dyDescent="0.3">
      <c r="A11" s="6" t="s">
        <v>46</v>
      </c>
      <c r="B11" s="6">
        <v>100</v>
      </c>
      <c r="C11" s="6"/>
      <c r="D11" s="6">
        <f>SUM(D7:D10)</f>
        <v>0</v>
      </c>
      <c r="E11" s="7"/>
    </row>
    <row r="13" spans="1:5" ht="19.95" customHeight="1" x14ac:dyDescent="0.3">
      <c r="A13" s="57" t="s">
        <v>47</v>
      </c>
      <c r="B13" s="26"/>
      <c r="C13" s="26"/>
      <c r="D13" s="26"/>
      <c r="E13" s="26"/>
    </row>
    <row r="14" spans="1:5" x14ac:dyDescent="0.3">
      <c r="A14" s="20" t="s">
        <v>48</v>
      </c>
      <c r="B14" s="60" t="s">
        <v>49</v>
      </c>
      <c r="C14" s="26"/>
      <c r="D14" s="26"/>
      <c r="E14" s="26"/>
    </row>
    <row r="15" spans="1:5" ht="34.049999999999997" customHeight="1" x14ac:dyDescent="0.3">
      <c r="A15" s="19" t="s">
        <v>50</v>
      </c>
      <c r="B15" s="61" t="s">
        <v>114</v>
      </c>
      <c r="C15" s="54"/>
      <c r="D15" s="54"/>
      <c r="E15" s="55"/>
    </row>
    <row r="16" spans="1:5" ht="34.049999999999997" customHeight="1" x14ac:dyDescent="0.3">
      <c r="A16" s="19" t="s">
        <v>51</v>
      </c>
      <c r="B16" s="61" t="s">
        <v>115</v>
      </c>
      <c r="C16" s="54"/>
      <c r="D16" s="54"/>
      <c r="E16" s="55"/>
    </row>
    <row r="17" spans="1:5" ht="34.049999999999997" customHeight="1" x14ac:dyDescent="0.3">
      <c r="A17" s="19" t="s">
        <v>52</v>
      </c>
      <c r="B17" s="61" t="s">
        <v>107</v>
      </c>
      <c r="C17" s="54"/>
      <c r="D17" s="54"/>
      <c r="E17" s="55"/>
    </row>
    <row r="18" spans="1:5" ht="34.799999999999997" customHeight="1" x14ac:dyDescent="0.3">
      <c r="A18" s="19" t="s">
        <v>87</v>
      </c>
      <c r="B18" s="61" t="s">
        <v>116</v>
      </c>
      <c r="C18" s="54"/>
      <c r="D18" s="54"/>
      <c r="E18" s="55"/>
    </row>
    <row r="21" spans="1:5" ht="25.05" customHeight="1" x14ac:dyDescent="0.3">
      <c r="A21" s="53" t="s">
        <v>53</v>
      </c>
      <c r="B21" s="54"/>
      <c r="C21" s="55"/>
    </row>
    <row r="22" spans="1:5" ht="42" customHeight="1" x14ac:dyDescent="0.3">
      <c r="A22" s="62" t="s">
        <v>54</v>
      </c>
      <c r="B22" s="54"/>
      <c r="C22" s="55"/>
    </row>
    <row r="23" spans="1:5" x14ac:dyDescent="0.3">
      <c r="A23" s="22"/>
    </row>
    <row r="24" spans="1:5" ht="19.95" customHeight="1" x14ac:dyDescent="0.3">
      <c r="A24" s="21" t="s">
        <v>55</v>
      </c>
      <c r="B24" s="21" t="s">
        <v>49</v>
      </c>
      <c r="C24" s="21" t="s">
        <v>56</v>
      </c>
    </row>
    <row r="25" spans="1:5" ht="28.8" customHeight="1" x14ac:dyDescent="0.3">
      <c r="A25" s="15" t="s">
        <v>57</v>
      </c>
      <c r="B25" s="15" t="s">
        <v>58</v>
      </c>
      <c r="C25" s="16"/>
    </row>
    <row r="26" spans="1:5" ht="28.8" customHeight="1" x14ac:dyDescent="0.3">
      <c r="A26" s="15" t="s">
        <v>59</v>
      </c>
      <c r="B26" s="15" t="s">
        <v>60</v>
      </c>
      <c r="C26" s="16"/>
    </row>
    <row r="27" spans="1:5" ht="28.8" customHeight="1" x14ac:dyDescent="0.3">
      <c r="A27" s="15" t="s">
        <v>61</v>
      </c>
      <c r="B27" s="15" t="s">
        <v>62</v>
      </c>
      <c r="C27" s="16"/>
    </row>
    <row r="29" spans="1:5" ht="19.95" customHeight="1" x14ac:dyDescent="0.3">
      <c r="A29" s="58" t="s">
        <v>63</v>
      </c>
      <c r="B29" s="54"/>
      <c r="C29" s="55"/>
    </row>
    <row r="30" spans="1:5" ht="25.05" customHeight="1" x14ac:dyDescent="0.3">
      <c r="A30" s="17" t="s">
        <v>64</v>
      </c>
      <c r="B30" s="56" t="str">
        <f>IF(COUNTA(C25:C27)=0,"",
AVERAGE(
 IF(C25="Chưa đạt",1.5,IF(C25="Đạt",3.5,IF(C25="Tốt",5,""))),
 IF(C26="Chưa đạt",1.5,IF(C26="Đạt",3.5,IF(C26="Tốt",5,""))),
 IF(C27="Chưa đạt",1.5,IF(C27="Đạt",3.5,IF(C27="Tốt",5,"")))
))</f>
        <v/>
      </c>
      <c r="C30" s="55"/>
    </row>
    <row r="31" spans="1:5" ht="25.05" customHeight="1" x14ac:dyDescent="0.3">
      <c r="A31" s="18" t="s">
        <v>28</v>
      </c>
      <c r="B31" s="56" t="str">
        <f>IF(OR(D11="",B30=""),"",D11*0.5+B30*0.5)</f>
        <v/>
      </c>
      <c r="C31" s="55"/>
    </row>
  </sheetData>
  <mergeCells count="15">
    <mergeCell ref="A1:E1"/>
    <mergeCell ref="A21:C21"/>
    <mergeCell ref="B31:C31"/>
    <mergeCell ref="A13:E13"/>
    <mergeCell ref="A29:C29"/>
    <mergeCell ref="B4:C4"/>
    <mergeCell ref="B14:E14"/>
    <mergeCell ref="B17:E17"/>
    <mergeCell ref="B30:C30"/>
    <mergeCell ref="B3:C3"/>
    <mergeCell ref="E3"/>
    <mergeCell ref="A22:C22"/>
    <mergeCell ref="B16:E16"/>
    <mergeCell ref="B15:E15"/>
    <mergeCell ref="B18:E18"/>
  </mergeCells>
  <conditionalFormatting sqref="C7:C10">
    <cfRule type="cellIs" dxfId="12" priority="1" operator="equal">
      <formula>1</formula>
    </cfRule>
    <cfRule type="cellIs" dxfId="11" priority="2" operator="equal">
      <formula>2</formula>
    </cfRule>
    <cfRule type="cellIs" dxfId="10" priority="3" operator="equal">
      <formula>3</formula>
    </cfRule>
    <cfRule type="cellIs" dxfId="9" priority="4" operator="equal">
      <formula>4</formula>
    </cfRule>
    <cfRule type="cellIs" dxfId="8" priority="5" operator="equal">
      <formula>5</formula>
    </cfRule>
  </conditionalFormatting>
  <conditionalFormatting sqref="D11">
    <cfRule type="cellIs" dxfId="7" priority="6" operator="lessThan">
      <formula>2.5</formula>
    </cfRule>
    <cfRule type="cellIs" dxfId="6" priority="7" operator="between">
      <formula>2.5</formula>
      <formula>3.2</formula>
    </cfRule>
    <cfRule type="cellIs" dxfId="5" priority="8" operator="between">
      <formula>3.3</formula>
      <formula>4</formula>
    </cfRule>
    <cfRule type="cellIs" dxfId="4" priority="9" operator="greaterThan">
      <formula>4</formula>
    </cfRule>
  </conditionalFormatting>
  <dataValidations count="2">
    <dataValidation type="list" allowBlank="1" sqref="C7:C10" xr:uid="{00000000-0002-0000-0200-000000000000}">
      <formula1>"L1,L2,L3"</formula1>
    </dataValidation>
    <dataValidation type="list" allowBlank="1" sqref="C25:C27" xr:uid="{00000000-0002-0000-0200-000001000000}">
      <formula1>"Chưa đạt,Đạt,Tốt"</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applyStyles="1" summaryBelow="0"/>
  </sheetPr>
  <dimension ref="A1:E9"/>
  <sheetViews>
    <sheetView tabSelected="1" workbookViewId="0">
      <pane ySplit="3" topLeftCell="A4" activePane="bottomLeft" state="frozen"/>
      <selection pane="bottomLeft" activeCell="C7" sqref="C7"/>
    </sheetView>
  </sheetViews>
  <sheetFormatPr defaultRowHeight="14.4" outlineLevelRow="1" x14ac:dyDescent="0.3"/>
  <cols>
    <col min="1" max="1" width="22" customWidth="1"/>
    <col min="2" max="2" width="50" customWidth="1"/>
    <col min="3" max="3" width="38.88671875" customWidth="1"/>
    <col min="4" max="4" width="40.77734375" customWidth="1"/>
    <col min="5" max="5" width="46.44140625" customWidth="1"/>
  </cols>
  <sheetData>
    <row r="1" spans="1:5" ht="30" customHeight="1" x14ac:dyDescent="0.3">
      <c r="A1" s="63" t="s">
        <v>65</v>
      </c>
      <c r="B1" s="63"/>
      <c r="C1" s="63"/>
      <c r="D1" s="63"/>
      <c r="E1" s="63"/>
    </row>
    <row r="2" spans="1:5" ht="44.4" customHeight="1" x14ac:dyDescent="0.3">
      <c r="A2" s="68" t="s">
        <v>106</v>
      </c>
      <c r="B2" s="68"/>
      <c r="C2" s="68"/>
      <c r="D2" s="68"/>
      <c r="E2" s="68"/>
    </row>
    <row r="4" spans="1:5" ht="22.05" customHeight="1" x14ac:dyDescent="0.3">
      <c r="A4" s="66" t="s">
        <v>89</v>
      </c>
      <c r="B4" s="66"/>
      <c r="C4" s="66"/>
      <c r="D4" s="66"/>
      <c r="E4" s="66"/>
    </row>
    <row r="5" spans="1:5" ht="19.95" customHeight="1" outlineLevel="1" x14ac:dyDescent="0.3">
      <c r="A5" s="8" t="s">
        <v>42</v>
      </c>
      <c r="B5" s="8" t="s">
        <v>66</v>
      </c>
      <c r="C5" s="8" t="s">
        <v>67</v>
      </c>
      <c r="D5" s="8" t="s">
        <v>68</v>
      </c>
      <c r="E5" s="64" t="s">
        <v>88</v>
      </c>
    </row>
    <row r="6" spans="1:5" ht="79.95" customHeight="1" outlineLevel="1" x14ac:dyDescent="0.3">
      <c r="A6" s="67" t="s">
        <v>83</v>
      </c>
      <c r="B6" s="9" t="s">
        <v>90</v>
      </c>
      <c r="C6" s="9" t="s">
        <v>91</v>
      </c>
      <c r="D6" s="9" t="s">
        <v>92</v>
      </c>
      <c r="E6" s="65" t="s">
        <v>93</v>
      </c>
    </row>
    <row r="7" spans="1:5" ht="79.95" customHeight="1" outlineLevel="1" x14ac:dyDescent="0.3">
      <c r="A7" s="67" t="s">
        <v>84</v>
      </c>
      <c r="B7" s="9" t="s">
        <v>94</v>
      </c>
      <c r="C7" s="9" t="s">
        <v>95</v>
      </c>
      <c r="D7" s="9" t="s">
        <v>96</v>
      </c>
      <c r="E7" s="65" t="s">
        <v>97</v>
      </c>
    </row>
    <row r="8" spans="1:5" ht="79.95" customHeight="1" outlineLevel="1" x14ac:dyDescent="0.3">
      <c r="A8" s="67" t="s">
        <v>85</v>
      </c>
      <c r="B8" s="9" t="s">
        <v>98</v>
      </c>
      <c r="C8" s="9" t="s">
        <v>99</v>
      </c>
      <c r="D8" s="9" t="s">
        <v>100</v>
      </c>
      <c r="E8" s="65" t="s">
        <v>101</v>
      </c>
    </row>
    <row r="9" spans="1:5" ht="79.95" customHeight="1" outlineLevel="1" collapsed="1" x14ac:dyDescent="0.3">
      <c r="A9" s="67" t="s">
        <v>86</v>
      </c>
      <c r="B9" s="9" t="s">
        <v>102</v>
      </c>
      <c r="C9" s="9" t="s">
        <v>103</v>
      </c>
      <c r="D9" s="9" t="s">
        <v>104</v>
      </c>
      <c r="E9" s="65" t="s">
        <v>105</v>
      </c>
    </row>
  </sheetData>
  <mergeCells count="3">
    <mergeCell ref="A4:E4"/>
    <mergeCell ref="A1:E1"/>
    <mergeCell ref="A2:E2"/>
  </mergeCells>
  <phoneticPr fontId="19" type="noConversion"/>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5"/>
  <sheetViews>
    <sheetView workbookViewId="0">
      <selection activeCell="C16" sqref="C16"/>
    </sheetView>
  </sheetViews>
  <sheetFormatPr defaultRowHeight="14.4" x14ac:dyDescent="0.3"/>
  <cols>
    <col min="1" max="1" width="6" customWidth="1"/>
    <col min="2" max="2" width="24" customWidth="1"/>
    <col min="3" max="3" width="22" customWidth="1"/>
    <col min="4" max="4" width="14" customWidth="1"/>
    <col min="5" max="5" width="10" customWidth="1"/>
    <col min="6" max="6" width="14" customWidth="1"/>
    <col min="7" max="7" width="8" customWidth="1"/>
    <col min="8" max="8" width="28" customWidth="1"/>
    <col min="9" max="14" width="15" customWidth="1"/>
  </cols>
  <sheetData>
    <row r="1" spans="1:14" ht="28.05" customHeight="1" x14ac:dyDescent="0.3">
      <c r="A1" s="52" t="s">
        <v>69</v>
      </c>
      <c r="B1" s="26"/>
      <c r="C1" s="26"/>
      <c r="D1" s="26"/>
      <c r="E1" s="26"/>
      <c r="F1" s="26"/>
      <c r="G1" s="26"/>
      <c r="H1" s="26"/>
    </row>
    <row r="3" spans="1:14" x14ac:dyDescent="0.3">
      <c r="A3" s="59" t="s">
        <v>70</v>
      </c>
      <c r="B3" s="26"/>
      <c r="C3" s="26"/>
      <c r="D3" s="26"/>
      <c r="E3" s="26"/>
      <c r="F3" s="26"/>
      <c r="G3" s="26"/>
      <c r="H3" s="26"/>
    </row>
    <row r="5" spans="1:14" ht="28.8" customHeight="1" x14ac:dyDescent="0.3">
      <c r="A5" s="2" t="s">
        <v>71</v>
      </c>
      <c r="B5" s="2" t="s">
        <v>38</v>
      </c>
      <c r="C5" s="2" t="s">
        <v>40</v>
      </c>
      <c r="D5" s="2" t="s">
        <v>39</v>
      </c>
      <c r="E5" s="2" t="s">
        <v>72</v>
      </c>
      <c r="F5" s="2" t="s">
        <v>29</v>
      </c>
      <c r="G5" s="2" t="s">
        <v>73</v>
      </c>
      <c r="H5" s="2" t="s">
        <v>74</v>
      </c>
      <c r="I5" s="10" t="s">
        <v>75</v>
      </c>
      <c r="J5" s="10" t="s">
        <v>76</v>
      </c>
      <c r="K5" s="10" t="s">
        <v>28</v>
      </c>
      <c r="L5" s="14" t="s">
        <v>75</v>
      </c>
      <c r="M5" s="14" t="s">
        <v>76</v>
      </c>
      <c r="N5" s="14" t="s">
        <v>28</v>
      </c>
    </row>
    <row r="6" spans="1:14" x14ac:dyDescent="0.3">
      <c r="A6" s="3">
        <v>1</v>
      </c>
      <c r="B6" s="4" t="s">
        <v>77</v>
      </c>
      <c r="C6" s="4" t="s">
        <v>78</v>
      </c>
      <c r="D6" s="3"/>
      <c r="E6" s="3"/>
      <c r="F6" s="3" t="str">
        <f t="shared" ref="F6:F35" si="0">IF(E6="","",IF(E6&lt;2.5,"Chưa đạt",IF(E6&lt;=3.2,"Đạt",IF(E6&lt;=4,"Tốt","Rất tốt"))))</f>
        <v/>
      </c>
      <c r="G6" s="3" t="str">
        <f>IF(E6="","",_xludf.RANK.EQ(E6,$E$6:$E$35,0))</f>
        <v/>
      </c>
      <c r="H6" s="4"/>
      <c r="J6" s="11" t="e">
        <f>'LEAD_CÔNG NGHỆ'!#REF!</f>
        <v>#REF!</v>
      </c>
      <c r="K6" s="11" t="e">
        <f>'LEAD_CÔNG NGHỆ'!#REF!</f>
        <v>#REF!</v>
      </c>
      <c r="M6" s="11" t="str">
        <f>'LEAD_CÔNG NGHỆ'!B30</f>
        <v/>
      </c>
      <c r="N6" s="11" t="str">
        <f>'LEAD_CÔNG NGHỆ'!B31</f>
        <v/>
      </c>
    </row>
    <row r="7" spans="1:14" x14ac:dyDescent="0.3">
      <c r="A7" s="3">
        <v>2</v>
      </c>
      <c r="B7" s="4" t="s">
        <v>79</v>
      </c>
      <c r="C7" s="4" t="s">
        <v>80</v>
      </c>
      <c r="D7" s="3"/>
      <c r="E7" s="3"/>
      <c r="F7" s="3" t="str">
        <f t="shared" si="0"/>
        <v/>
      </c>
      <c r="G7" s="3" t="str">
        <f>IF(E7="","",_xludf.RANK.EQ(E7,$E$6:$E$35,0))</f>
        <v/>
      </c>
      <c r="H7" s="4"/>
      <c r="J7" s="11" t="e">
        <f>'LEAD_CÔNG NGHỆ'!#REF!</f>
        <v>#REF!</v>
      </c>
      <c r="K7" s="11" t="e">
        <f>'LEAD_CÔNG NGHỆ'!#REF!</f>
        <v>#REF!</v>
      </c>
      <c r="M7" s="11" t="str">
        <f>'LEAD_CÔNG NGHỆ'!B30</f>
        <v/>
      </c>
      <c r="N7" s="11" t="str">
        <f>'LEAD_CÔNG NGHỆ'!B31</f>
        <v/>
      </c>
    </row>
    <row r="8" spans="1:14" x14ac:dyDescent="0.3">
      <c r="A8" s="3">
        <v>3</v>
      </c>
      <c r="B8" s="4" t="s">
        <v>81</v>
      </c>
      <c r="C8" s="4" t="s">
        <v>80</v>
      </c>
      <c r="D8" s="3"/>
      <c r="E8" s="3"/>
      <c r="F8" s="3" t="str">
        <f t="shared" si="0"/>
        <v/>
      </c>
      <c r="G8" s="3" t="str">
        <f>IF(E8="","",_xludf.RANK.EQ(E8,$E$6:$E$35,0))</f>
        <v/>
      </c>
      <c r="H8" s="4"/>
      <c r="J8" s="11" t="e">
        <f>'LEAD_CÔNG NGHỆ'!#REF!</f>
        <v>#REF!</v>
      </c>
      <c r="K8" s="11" t="e">
        <f>'LEAD_CÔNG NGHỆ'!#REF!</f>
        <v>#REF!</v>
      </c>
      <c r="M8" s="11" t="str">
        <f>'LEAD_CÔNG NGHỆ'!B30</f>
        <v/>
      </c>
      <c r="N8" s="11" t="str">
        <f>'LEAD_CÔNG NGHỆ'!B31</f>
        <v/>
      </c>
    </row>
    <row r="9" spans="1:14" x14ac:dyDescent="0.3">
      <c r="A9" s="3">
        <v>4</v>
      </c>
      <c r="B9" s="4" t="s">
        <v>82</v>
      </c>
      <c r="C9" s="4" t="s">
        <v>80</v>
      </c>
      <c r="D9" s="3"/>
      <c r="E9" s="3"/>
      <c r="F9" s="3" t="str">
        <f t="shared" si="0"/>
        <v/>
      </c>
      <c r="G9" s="3" t="str">
        <f>IF(E9="","",_xludf.RANK.EQ(E9,$E$6:$E$35,0))</f>
        <v/>
      </c>
      <c r="H9" s="4"/>
      <c r="J9" s="11" t="e">
        <f>'LEAD_CÔNG NGHỆ'!#REF!</f>
        <v>#REF!</v>
      </c>
      <c r="K9" s="11" t="e">
        <f>'LEAD_CÔNG NGHỆ'!#REF!</f>
        <v>#REF!</v>
      </c>
      <c r="M9" s="11" t="str">
        <f>'LEAD_CÔNG NGHỆ'!B30</f>
        <v/>
      </c>
      <c r="N9" s="11" t="str">
        <f>'LEAD_CÔNG NGHỆ'!B31</f>
        <v/>
      </c>
    </row>
    <row r="10" spans="1:14" x14ac:dyDescent="0.3">
      <c r="A10" s="3">
        <v>5</v>
      </c>
      <c r="B10" s="4"/>
      <c r="C10" s="4"/>
      <c r="D10" s="3"/>
      <c r="E10" s="3"/>
      <c r="F10" s="3" t="str">
        <f t="shared" si="0"/>
        <v/>
      </c>
      <c r="G10" s="3" t="str">
        <f>IF(E10="","",_xludf.RANK.EQ(E10,$E$6:$E$35,0))</f>
        <v/>
      </c>
      <c r="H10" s="4"/>
      <c r="J10" s="11" t="e">
        <f>'LEAD_CÔNG NGHỆ'!#REF!</f>
        <v>#REF!</v>
      </c>
      <c r="K10" s="11" t="e">
        <f>'LEAD_CÔNG NGHỆ'!#REF!</f>
        <v>#REF!</v>
      </c>
      <c r="M10" s="11" t="str">
        <f>'LEAD_CÔNG NGHỆ'!B30</f>
        <v/>
      </c>
      <c r="N10" s="11" t="str">
        <f>'LEAD_CÔNG NGHỆ'!B31</f>
        <v/>
      </c>
    </row>
    <row r="11" spans="1:14" x14ac:dyDescent="0.3">
      <c r="A11" s="3">
        <v>6</v>
      </c>
      <c r="B11" s="4"/>
      <c r="C11" s="4"/>
      <c r="D11" s="3"/>
      <c r="E11" s="3"/>
      <c r="F11" s="3" t="str">
        <f t="shared" si="0"/>
        <v/>
      </c>
      <c r="G11" s="3" t="str">
        <f>IF(E11="","",_xludf.RANK.EQ(E11,$E$6:$E$35,0))</f>
        <v/>
      </c>
      <c r="H11" s="4"/>
      <c r="J11" s="11" t="e">
        <f>'LEAD_CÔNG NGHỆ'!#REF!</f>
        <v>#REF!</v>
      </c>
      <c r="K11" s="11" t="e">
        <f>'LEAD_CÔNG NGHỆ'!#REF!</f>
        <v>#REF!</v>
      </c>
      <c r="M11" s="11" t="str">
        <f>'LEAD_CÔNG NGHỆ'!B30</f>
        <v/>
      </c>
      <c r="N11" s="11" t="str">
        <f>'LEAD_CÔNG NGHỆ'!B31</f>
        <v/>
      </c>
    </row>
    <row r="12" spans="1:14" x14ac:dyDescent="0.3">
      <c r="A12" s="3">
        <v>7</v>
      </c>
      <c r="B12" s="4"/>
      <c r="C12" s="4"/>
      <c r="D12" s="3"/>
      <c r="E12" s="3"/>
      <c r="F12" s="3" t="str">
        <f t="shared" si="0"/>
        <v/>
      </c>
      <c r="G12" s="3" t="str">
        <f>IF(E12="","",_xludf.RANK.EQ(E12,$E$6:$E$35,0))</f>
        <v/>
      </c>
      <c r="H12" s="4"/>
      <c r="J12" s="11" t="e">
        <f>'LEAD_CÔNG NGHỆ'!#REF!</f>
        <v>#REF!</v>
      </c>
      <c r="K12" s="11" t="e">
        <f>'LEAD_CÔNG NGHỆ'!#REF!</f>
        <v>#REF!</v>
      </c>
      <c r="M12" s="11" t="str">
        <f>'LEAD_CÔNG NGHỆ'!B30</f>
        <v/>
      </c>
      <c r="N12" s="11" t="str">
        <f>'LEAD_CÔNG NGHỆ'!B31</f>
        <v/>
      </c>
    </row>
    <row r="13" spans="1:14" x14ac:dyDescent="0.3">
      <c r="A13" s="3">
        <v>8</v>
      </c>
      <c r="B13" s="4"/>
      <c r="C13" s="4"/>
      <c r="D13" s="3"/>
      <c r="E13" s="3"/>
      <c r="F13" s="3" t="str">
        <f t="shared" si="0"/>
        <v/>
      </c>
      <c r="G13" s="3" t="str">
        <f>IF(E13="","",_xludf.RANK.EQ(E13,$E$6:$E$35,0))</f>
        <v/>
      </c>
      <c r="H13" s="4"/>
      <c r="J13" s="11" t="e">
        <f>'LEAD_CÔNG NGHỆ'!#REF!</f>
        <v>#REF!</v>
      </c>
      <c r="K13" s="11" t="e">
        <f>'LEAD_CÔNG NGHỆ'!#REF!</f>
        <v>#REF!</v>
      </c>
      <c r="M13" s="11" t="str">
        <f>'LEAD_CÔNG NGHỆ'!B30</f>
        <v/>
      </c>
      <c r="N13" s="11" t="str">
        <f>'LEAD_CÔNG NGHỆ'!B31</f>
        <v/>
      </c>
    </row>
    <row r="14" spans="1:14" x14ac:dyDescent="0.3">
      <c r="A14" s="3">
        <v>9</v>
      </c>
      <c r="B14" s="4"/>
      <c r="C14" s="4"/>
      <c r="D14" s="3"/>
      <c r="E14" s="3"/>
      <c r="F14" s="3" t="str">
        <f t="shared" si="0"/>
        <v/>
      </c>
      <c r="G14" s="3" t="str">
        <f>IF(E14="","",_xludf.RANK.EQ(E14,$E$6:$E$35,0))</f>
        <v/>
      </c>
      <c r="H14" s="4"/>
      <c r="J14" s="11" t="e">
        <f>'LEAD_CÔNG NGHỆ'!#REF!</f>
        <v>#REF!</v>
      </c>
      <c r="K14" s="11" t="e">
        <f>'LEAD_CÔNG NGHỆ'!#REF!</f>
        <v>#REF!</v>
      </c>
      <c r="M14" s="11" t="str">
        <f>'LEAD_CÔNG NGHỆ'!B30</f>
        <v/>
      </c>
      <c r="N14" s="11" t="str">
        <f>'LEAD_CÔNG NGHỆ'!B31</f>
        <v/>
      </c>
    </row>
    <row r="15" spans="1:14" x14ac:dyDescent="0.3">
      <c r="A15" s="3">
        <v>10</v>
      </c>
      <c r="B15" s="4"/>
      <c r="C15" s="4"/>
      <c r="D15" s="3"/>
      <c r="E15" s="3"/>
      <c r="F15" s="3" t="str">
        <f t="shared" si="0"/>
        <v/>
      </c>
      <c r="G15" s="3" t="str">
        <f>IF(E15="","",_xludf.RANK.EQ(E15,$E$6:$E$35,0))</f>
        <v/>
      </c>
      <c r="H15" s="4"/>
      <c r="J15" s="11" t="e">
        <f>'LEAD_CÔNG NGHỆ'!#REF!</f>
        <v>#REF!</v>
      </c>
      <c r="K15" s="11" t="e">
        <f>'LEAD_CÔNG NGHỆ'!#REF!</f>
        <v>#REF!</v>
      </c>
      <c r="M15" s="11" t="str">
        <f>'LEAD_CÔNG NGHỆ'!B30</f>
        <v/>
      </c>
      <c r="N15" s="11" t="str">
        <f>'LEAD_CÔNG NGHỆ'!B31</f>
        <v/>
      </c>
    </row>
    <row r="16" spans="1:14" x14ac:dyDescent="0.3">
      <c r="A16" s="3">
        <v>11</v>
      </c>
      <c r="B16" s="4"/>
      <c r="C16" s="4"/>
      <c r="D16" s="3"/>
      <c r="E16" s="3"/>
      <c r="F16" s="3" t="str">
        <f t="shared" si="0"/>
        <v/>
      </c>
      <c r="G16" s="3" t="str">
        <f>IF(E16="","",_xludf.RANK.EQ(E16,$E$6:$E$35,0))</f>
        <v/>
      </c>
      <c r="H16" s="4"/>
      <c r="J16" s="11" t="e">
        <f>'LEAD_CÔNG NGHỆ'!#REF!</f>
        <v>#REF!</v>
      </c>
      <c r="K16" s="11" t="e">
        <f>'LEAD_CÔNG NGHỆ'!#REF!</f>
        <v>#REF!</v>
      </c>
      <c r="M16" s="11" t="str">
        <f>'LEAD_CÔNG NGHỆ'!B30</f>
        <v/>
      </c>
      <c r="N16" s="11" t="str">
        <f>'LEAD_CÔNG NGHỆ'!B31</f>
        <v/>
      </c>
    </row>
    <row r="17" spans="1:14" x14ac:dyDescent="0.3">
      <c r="A17" s="3">
        <v>12</v>
      </c>
      <c r="B17" s="4"/>
      <c r="C17" s="4"/>
      <c r="D17" s="3"/>
      <c r="E17" s="3"/>
      <c r="F17" s="3" t="str">
        <f t="shared" si="0"/>
        <v/>
      </c>
      <c r="G17" s="3" t="str">
        <f>IF(E17="","",_xludf.RANK.EQ(E17,$E$6:$E$35,0))</f>
        <v/>
      </c>
      <c r="H17" s="4"/>
      <c r="J17" s="11" t="e">
        <f>'LEAD_CÔNG NGHỆ'!#REF!</f>
        <v>#REF!</v>
      </c>
      <c r="K17" s="11" t="e">
        <f>'LEAD_CÔNG NGHỆ'!#REF!</f>
        <v>#REF!</v>
      </c>
      <c r="M17" s="11" t="str">
        <f>'LEAD_CÔNG NGHỆ'!B30</f>
        <v/>
      </c>
      <c r="N17" s="11" t="str">
        <f>'LEAD_CÔNG NGHỆ'!B31</f>
        <v/>
      </c>
    </row>
    <row r="18" spans="1:14" x14ac:dyDescent="0.3">
      <c r="A18" s="3">
        <v>13</v>
      </c>
      <c r="B18" s="4"/>
      <c r="C18" s="4"/>
      <c r="D18" s="3"/>
      <c r="E18" s="3"/>
      <c r="F18" s="3" t="str">
        <f t="shared" si="0"/>
        <v/>
      </c>
      <c r="G18" s="3" t="str">
        <f>IF(E18="","",_xludf.RANK.EQ(E18,$E$6:$E$35,0))</f>
        <v/>
      </c>
      <c r="H18" s="4"/>
      <c r="J18" s="11" t="e">
        <f>'LEAD_CÔNG NGHỆ'!#REF!</f>
        <v>#REF!</v>
      </c>
      <c r="K18" s="11" t="e">
        <f>'LEAD_CÔNG NGHỆ'!#REF!</f>
        <v>#REF!</v>
      </c>
      <c r="M18" s="11" t="str">
        <f>'LEAD_CÔNG NGHỆ'!B30</f>
        <v/>
      </c>
      <c r="N18" s="11" t="str">
        <f>'LEAD_CÔNG NGHỆ'!B31</f>
        <v/>
      </c>
    </row>
    <row r="19" spans="1:14" x14ac:dyDescent="0.3">
      <c r="A19" s="3">
        <v>14</v>
      </c>
      <c r="B19" s="4"/>
      <c r="C19" s="4"/>
      <c r="D19" s="3"/>
      <c r="E19" s="3"/>
      <c r="F19" s="3" t="str">
        <f t="shared" si="0"/>
        <v/>
      </c>
      <c r="G19" s="3" t="str">
        <f>IF(E19="","",_xludf.RANK.EQ(E19,$E$6:$E$35,0))</f>
        <v/>
      </c>
      <c r="H19" s="4"/>
      <c r="J19" s="11" t="e">
        <f>'LEAD_CÔNG NGHỆ'!#REF!</f>
        <v>#REF!</v>
      </c>
      <c r="K19" s="11" t="e">
        <f>'LEAD_CÔNG NGHỆ'!#REF!</f>
        <v>#REF!</v>
      </c>
      <c r="M19" s="11" t="str">
        <f>'LEAD_CÔNG NGHỆ'!B30</f>
        <v/>
      </c>
      <c r="N19" s="11" t="str">
        <f>'LEAD_CÔNG NGHỆ'!B31</f>
        <v/>
      </c>
    </row>
    <row r="20" spans="1:14" x14ac:dyDescent="0.3">
      <c r="A20" s="3">
        <v>15</v>
      </c>
      <c r="B20" s="4"/>
      <c r="C20" s="4"/>
      <c r="D20" s="3"/>
      <c r="E20" s="3"/>
      <c r="F20" s="3" t="str">
        <f t="shared" si="0"/>
        <v/>
      </c>
      <c r="G20" s="3" t="str">
        <f>IF(E20="","",_xludf.RANK.EQ(E20,$E$6:$E$35,0))</f>
        <v/>
      </c>
      <c r="H20" s="4"/>
      <c r="J20" s="11" t="e">
        <f>'LEAD_CÔNG NGHỆ'!#REF!</f>
        <v>#REF!</v>
      </c>
      <c r="K20" s="11" t="e">
        <f>'LEAD_CÔNG NGHỆ'!#REF!</f>
        <v>#REF!</v>
      </c>
      <c r="M20" s="11" t="str">
        <f>'LEAD_CÔNG NGHỆ'!B30</f>
        <v/>
      </c>
      <c r="N20" s="11" t="str">
        <f>'LEAD_CÔNG NGHỆ'!B31</f>
        <v/>
      </c>
    </row>
    <row r="21" spans="1:14" x14ac:dyDescent="0.3">
      <c r="A21" s="3">
        <v>16</v>
      </c>
      <c r="B21" s="4"/>
      <c r="C21" s="4"/>
      <c r="D21" s="3"/>
      <c r="E21" s="3"/>
      <c r="F21" s="3" t="str">
        <f t="shared" si="0"/>
        <v/>
      </c>
      <c r="G21" s="3" t="str">
        <f>IF(E21="","",_xludf.RANK.EQ(E21,$E$6:$E$35,0))</f>
        <v/>
      </c>
      <c r="H21" s="4"/>
      <c r="J21" s="11" t="e">
        <f>'LEAD_CÔNG NGHỆ'!#REF!</f>
        <v>#REF!</v>
      </c>
      <c r="K21" s="11" t="e">
        <f>'LEAD_CÔNG NGHỆ'!#REF!</f>
        <v>#REF!</v>
      </c>
      <c r="M21" s="11" t="str">
        <f>'LEAD_CÔNG NGHỆ'!B30</f>
        <v/>
      </c>
      <c r="N21" s="11" t="str">
        <f>'LEAD_CÔNG NGHỆ'!B31</f>
        <v/>
      </c>
    </row>
    <row r="22" spans="1:14" x14ac:dyDescent="0.3">
      <c r="A22" s="3">
        <v>17</v>
      </c>
      <c r="B22" s="4"/>
      <c r="C22" s="4"/>
      <c r="D22" s="3"/>
      <c r="E22" s="3"/>
      <c r="F22" s="3" t="str">
        <f t="shared" si="0"/>
        <v/>
      </c>
      <c r="G22" s="3" t="str">
        <f>IF(E22="","",_xludf.RANK.EQ(E22,$E$6:$E$35,0))</f>
        <v/>
      </c>
      <c r="H22" s="4"/>
      <c r="J22" s="11" t="e">
        <f>'LEAD_CÔNG NGHỆ'!#REF!</f>
        <v>#REF!</v>
      </c>
      <c r="K22" s="11" t="e">
        <f>'LEAD_CÔNG NGHỆ'!#REF!</f>
        <v>#REF!</v>
      </c>
      <c r="M22" s="11" t="str">
        <f>'LEAD_CÔNG NGHỆ'!B30</f>
        <v/>
      </c>
      <c r="N22" s="11" t="str">
        <f>'LEAD_CÔNG NGHỆ'!B31</f>
        <v/>
      </c>
    </row>
    <row r="23" spans="1:14" x14ac:dyDescent="0.3">
      <c r="A23" s="3">
        <v>18</v>
      </c>
      <c r="B23" s="4"/>
      <c r="C23" s="4"/>
      <c r="D23" s="3"/>
      <c r="E23" s="3"/>
      <c r="F23" s="3" t="str">
        <f t="shared" si="0"/>
        <v/>
      </c>
      <c r="G23" s="3" t="str">
        <f>IF(E23="","",_xludf.RANK.EQ(E23,$E$6:$E$35,0))</f>
        <v/>
      </c>
      <c r="H23" s="4"/>
      <c r="J23" s="11" t="e">
        <f>'LEAD_CÔNG NGHỆ'!#REF!</f>
        <v>#REF!</v>
      </c>
      <c r="K23" s="11" t="e">
        <f>'LEAD_CÔNG NGHỆ'!#REF!</f>
        <v>#REF!</v>
      </c>
      <c r="M23" s="11" t="str">
        <f>'LEAD_CÔNG NGHỆ'!B30</f>
        <v/>
      </c>
      <c r="N23" s="11" t="str">
        <f>'LEAD_CÔNG NGHỆ'!B31</f>
        <v/>
      </c>
    </row>
    <row r="24" spans="1:14" x14ac:dyDescent="0.3">
      <c r="A24" s="3">
        <v>19</v>
      </c>
      <c r="B24" s="4"/>
      <c r="C24" s="4"/>
      <c r="D24" s="3"/>
      <c r="E24" s="3"/>
      <c r="F24" s="3" t="str">
        <f t="shared" si="0"/>
        <v/>
      </c>
      <c r="G24" s="3" t="str">
        <f>IF(E24="","",_xludf.RANK.EQ(E24,$E$6:$E$35,0))</f>
        <v/>
      </c>
      <c r="H24" s="4"/>
      <c r="J24" s="11" t="e">
        <f>'LEAD_CÔNG NGHỆ'!#REF!</f>
        <v>#REF!</v>
      </c>
      <c r="K24" s="11" t="e">
        <f>'LEAD_CÔNG NGHỆ'!#REF!</f>
        <v>#REF!</v>
      </c>
      <c r="M24" s="11" t="str">
        <f>'LEAD_CÔNG NGHỆ'!B30</f>
        <v/>
      </c>
      <c r="N24" s="11" t="str">
        <f>'LEAD_CÔNG NGHỆ'!B31</f>
        <v/>
      </c>
    </row>
    <row r="25" spans="1:14" x14ac:dyDescent="0.3">
      <c r="A25" s="3">
        <v>20</v>
      </c>
      <c r="B25" s="4"/>
      <c r="C25" s="4"/>
      <c r="D25" s="3"/>
      <c r="E25" s="3"/>
      <c r="F25" s="3" t="str">
        <f t="shared" si="0"/>
        <v/>
      </c>
      <c r="G25" s="3" t="str">
        <f>IF(E25="","",_xludf.RANK.EQ(E25,$E$6:$E$35,0))</f>
        <v/>
      </c>
      <c r="H25" s="4"/>
      <c r="J25" s="11" t="e">
        <f>'LEAD_CÔNG NGHỆ'!#REF!</f>
        <v>#REF!</v>
      </c>
      <c r="K25" s="11" t="e">
        <f>'LEAD_CÔNG NGHỆ'!#REF!</f>
        <v>#REF!</v>
      </c>
      <c r="M25" s="11" t="str">
        <f>'LEAD_CÔNG NGHỆ'!B30</f>
        <v/>
      </c>
      <c r="N25" s="11" t="str">
        <f>'LEAD_CÔNG NGHỆ'!B31</f>
        <v/>
      </c>
    </row>
    <row r="26" spans="1:14" x14ac:dyDescent="0.3">
      <c r="A26" s="3">
        <v>21</v>
      </c>
      <c r="B26" s="4"/>
      <c r="C26" s="4"/>
      <c r="D26" s="3"/>
      <c r="E26" s="3"/>
      <c r="F26" s="3" t="str">
        <f t="shared" si="0"/>
        <v/>
      </c>
      <c r="G26" s="3" t="str">
        <f>IF(E26="","",_xludf.RANK.EQ(E26,$E$6:$E$35,0))</f>
        <v/>
      </c>
      <c r="H26" s="4"/>
      <c r="J26" s="11" t="e">
        <f>'LEAD_CÔNG NGHỆ'!#REF!</f>
        <v>#REF!</v>
      </c>
      <c r="K26" s="11" t="e">
        <f>'LEAD_CÔNG NGHỆ'!#REF!</f>
        <v>#REF!</v>
      </c>
      <c r="M26" s="11" t="str">
        <f>'LEAD_CÔNG NGHỆ'!B30</f>
        <v/>
      </c>
      <c r="N26" s="11" t="str">
        <f>'LEAD_CÔNG NGHỆ'!B31</f>
        <v/>
      </c>
    </row>
    <row r="27" spans="1:14" x14ac:dyDescent="0.3">
      <c r="A27" s="3">
        <v>22</v>
      </c>
      <c r="B27" s="4"/>
      <c r="C27" s="4"/>
      <c r="D27" s="3"/>
      <c r="E27" s="3"/>
      <c r="F27" s="3" t="str">
        <f t="shared" si="0"/>
        <v/>
      </c>
      <c r="G27" s="3" t="str">
        <f>IF(E27="","",_xludf.RANK.EQ(E27,$E$6:$E$35,0))</f>
        <v/>
      </c>
      <c r="H27" s="4"/>
      <c r="J27" s="11" t="e">
        <f>'LEAD_CÔNG NGHỆ'!#REF!</f>
        <v>#REF!</v>
      </c>
      <c r="K27" s="11" t="e">
        <f>'LEAD_CÔNG NGHỆ'!#REF!</f>
        <v>#REF!</v>
      </c>
      <c r="M27" s="11" t="str">
        <f>'LEAD_CÔNG NGHỆ'!B30</f>
        <v/>
      </c>
      <c r="N27" s="11" t="str">
        <f>'LEAD_CÔNG NGHỆ'!B31</f>
        <v/>
      </c>
    </row>
    <row r="28" spans="1:14" x14ac:dyDescent="0.3">
      <c r="A28" s="3">
        <v>23</v>
      </c>
      <c r="B28" s="4"/>
      <c r="C28" s="4"/>
      <c r="D28" s="3"/>
      <c r="E28" s="3"/>
      <c r="F28" s="3" t="str">
        <f t="shared" si="0"/>
        <v/>
      </c>
      <c r="G28" s="3" t="str">
        <f>IF(E28="","",_xludf.RANK.EQ(E28,$E$6:$E$35,0))</f>
        <v/>
      </c>
      <c r="H28" s="4"/>
      <c r="J28" s="11" t="e">
        <f>'LEAD_CÔNG NGHỆ'!#REF!</f>
        <v>#REF!</v>
      </c>
      <c r="K28" s="11" t="e">
        <f>'LEAD_CÔNG NGHỆ'!#REF!</f>
        <v>#REF!</v>
      </c>
      <c r="M28" s="11" t="str">
        <f>'LEAD_CÔNG NGHỆ'!B30</f>
        <v/>
      </c>
      <c r="N28" s="11" t="str">
        <f>'LEAD_CÔNG NGHỆ'!B31</f>
        <v/>
      </c>
    </row>
    <row r="29" spans="1:14" x14ac:dyDescent="0.3">
      <c r="A29" s="3">
        <v>24</v>
      </c>
      <c r="B29" s="4"/>
      <c r="C29" s="4"/>
      <c r="D29" s="3"/>
      <c r="E29" s="3"/>
      <c r="F29" s="3" t="str">
        <f t="shared" si="0"/>
        <v/>
      </c>
      <c r="G29" s="3" t="str">
        <f>IF(E29="","",_xludf.RANK.EQ(E29,$E$6:$E$35,0))</f>
        <v/>
      </c>
      <c r="H29" s="4"/>
      <c r="J29" s="11" t="e">
        <f>'LEAD_CÔNG NGHỆ'!#REF!</f>
        <v>#REF!</v>
      </c>
      <c r="K29" s="11" t="e">
        <f>'LEAD_CÔNG NGHỆ'!#REF!</f>
        <v>#REF!</v>
      </c>
      <c r="M29" s="11" t="str">
        <f>'LEAD_CÔNG NGHỆ'!B30</f>
        <v/>
      </c>
      <c r="N29" s="11" t="str">
        <f>'LEAD_CÔNG NGHỆ'!B31</f>
        <v/>
      </c>
    </row>
    <row r="30" spans="1:14" x14ac:dyDescent="0.3">
      <c r="A30" s="3">
        <v>25</v>
      </c>
      <c r="B30" s="4"/>
      <c r="C30" s="4"/>
      <c r="D30" s="3"/>
      <c r="E30" s="3"/>
      <c r="F30" s="3" t="str">
        <f t="shared" si="0"/>
        <v/>
      </c>
      <c r="G30" s="3" t="str">
        <f>IF(E30="","",_xludf.RANK.EQ(E30,$E$6:$E$35,0))</f>
        <v/>
      </c>
      <c r="H30" s="4"/>
      <c r="J30" s="11" t="e">
        <f>'LEAD_CÔNG NGHỆ'!#REF!</f>
        <v>#REF!</v>
      </c>
      <c r="K30" s="11" t="e">
        <f>'LEAD_CÔNG NGHỆ'!#REF!</f>
        <v>#REF!</v>
      </c>
      <c r="M30" s="11" t="str">
        <f>'LEAD_CÔNG NGHỆ'!B30</f>
        <v/>
      </c>
      <c r="N30" s="11" t="str">
        <f>'LEAD_CÔNG NGHỆ'!B31</f>
        <v/>
      </c>
    </row>
    <row r="31" spans="1:14" x14ac:dyDescent="0.3">
      <c r="A31" s="3">
        <v>26</v>
      </c>
      <c r="B31" s="4"/>
      <c r="C31" s="4"/>
      <c r="D31" s="3"/>
      <c r="E31" s="3"/>
      <c r="F31" s="3" t="str">
        <f t="shared" si="0"/>
        <v/>
      </c>
      <c r="G31" s="3" t="str">
        <f>IF(E31="","",_xludf.RANK.EQ(E31,$E$6:$E$35,0))</f>
        <v/>
      </c>
      <c r="H31" s="4"/>
      <c r="J31" s="11" t="e">
        <f>'LEAD_CÔNG NGHỆ'!#REF!</f>
        <v>#REF!</v>
      </c>
      <c r="K31" s="11" t="e">
        <f>'LEAD_CÔNG NGHỆ'!#REF!</f>
        <v>#REF!</v>
      </c>
      <c r="M31" s="11" t="str">
        <f>'LEAD_CÔNG NGHỆ'!B30</f>
        <v/>
      </c>
      <c r="N31" s="11" t="str">
        <f>'LEAD_CÔNG NGHỆ'!B31</f>
        <v/>
      </c>
    </row>
    <row r="32" spans="1:14" x14ac:dyDescent="0.3">
      <c r="A32" s="3">
        <v>27</v>
      </c>
      <c r="B32" s="4"/>
      <c r="C32" s="4"/>
      <c r="D32" s="3"/>
      <c r="E32" s="3"/>
      <c r="F32" s="3" t="str">
        <f t="shared" si="0"/>
        <v/>
      </c>
      <c r="G32" s="3" t="str">
        <f>IF(E32="","",_xludf.RANK.EQ(E32,$E$6:$E$35,0))</f>
        <v/>
      </c>
      <c r="H32" s="4"/>
      <c r="J32" s="11" t="e">
        <f>'LEAD_CÔNG NGHỆ'!#REF!</f>
        <v>#REF!</v>
      </c>
      <c r="K32" s="11" t="e">
        <f>'LEAD_CÔNG NGHỆ'!#REF!</f>
        <v>#REF!</v>
      </c>
      <c r="M32" s="11" t="str">
        <f>'LEAD_CÔNG NGHỆ'!B30</f>
        <v/>
      </c>
      <c r="N32" s="11" t="str">
        <f>'LEAD_CÔNG NGHỆ'!B31</f>
        <v/>
      </c>
    </row>
    <row r="33" spans="1:14" x14ac:dyDescent="0.3">
      <c r="A33" s="3">
        <v>28</v>
      </c>
      <c r="B33" s="4"/>
      <c r="C33" s="4"/>
      <c r="D33" s="3"/>
      <c r="E33" s="3"/>
      <c r="F33" s="3" t="str">
        <f t="shared" si="0"/>
        <v/>
      </c>
      <c r="G33" s="3" t="str">
        <f>IF(E33="","",_xludf.RANK.EQ(E33,$E$6:$E$35,0))</f>
        <v/>
      </c>
      <c r="H33" s="4"/>
      <c r="J33" s="11" t="e">
        <f>'LEAD_CÔNG NGHỆ'!#REF!</f>
        <v>#REF!</v>
      </c>
      <c r="K33" s="11" t="e">
        <f>'LEAD_CÔNG NGHỆ'!#REF!</f>
        <v>#REF!</v>
      </c>
      <c r="M33" s="11" t="str">
        <f>'LEAD_CÔNG NGHỆ'!B30</f>
        <v/>
      </c>
      <c r="N33" s="11" t="str">
        <f>'LEAD_CÔNG NGHỆ'!B31</f>
        <v/>
      </c>
    </row>
    <row r="34" spans="1:14" x14ac:dyDescent="0.3">
      <c r="A34" s="3">
        <v>29</v>
      </c>
      <c r="B34" s="4"/>
      <c r="C34" s="4"/>
      <c r="D34" s="3"/>
      <c r="E34" s="3"/>
      <c r="F34" s="3" t="str">
        <f t="shared" si="0"/>
        <v/>
      </c>
      <c r="G34" s="3" t="str">
        <f>IF(E34="","",_xludf.RANK.EQ(E34,$E$6:$E$35,0))</f>
        <v/>
      </c>
      <c r="H34" s="4"/>
      <c r="J34" s="11" t="e">
        <f>'LEAD_CÔNG NGHỆ'!#REF!</f>
        <v>#REF!</v>
      </c>
      <c r="K34" s="11" t="e">
        <f>'LEAD_CÔNG NGHỆ'!#REF!</f>
        <v>#REF!</v>
      </c>
      <c r="M34" s="11" t="str">
        <f>'LEAD_CÔNG NGHỆ'!B30</f>
        <v/>
      </c>
      <c r="N34" s="11" t="str">
        <f>'LEAD_CÔNG NGHỆ'!B31</f>
        <v/>
      </c>
    </row>
    <row r="35" spans="1:14" x14ac:dyDescent="0.3">
      <c r="A35" s="3">
        <v>30</v>
      </c>
      <c r="B35" s="4"/>
      <c r="C35" s="4"/>
      <c r="D35" s="3"/>
      <c r="E35" s="3"/>
      <c r="F35" s="3" t="str">
        <f t="shared" si="0"/>
        <v/>
      </c>
      <c r="G35" s="3" t="str">
        <f>IF(E35="","",_xludf.RANK.EQ(E35,$E$6:$E$35,0))</f>
        <v/>
      </c>
      <c r="H35" s="4"/>
      <c r="J35" s="11" t="e">
        <f>'LEAD_CÔNG NGHỆ'!#REF!</f>
        <v>#REF!</v>
      </c>
      <c r="K35" s="11" t="e">
        <f>'LEAD_CÔNG NGHỆ'!#REF!</f>
        <v>#REF!</v>
      </c>
      <c r="M35" s="11" t="str">
        <f>'LEAD_CÔNG NGHỆ'!B30</f>
        <v/>
      </c>
      <c r="N35" s="11" t="str">
        <f>'LEAD_CÔNG NGHỆ'!B31</f>
        <v/>
      </c>
    </row>
  </sheetData>
  <mergeCells count="2">
    <mergeCell ref="A3:H3"/>
    <mergeCell ref="A1:H1"/>
  </mergeCells>
  <conditionalFormatting sqref="E6:E35">
    <cfRule type="cellIs" dxfId="3" priority="1" operator="lessThan">
      <formula>2.5</formula>
    </cfRule>
    <cfRule type="cellIs" dxfId="2" priority="2" operator="between">
      <formula>2.5</formula>
      <formula>3.2</formula>
    </cfRule>
    <cfRule type="cellIs" dxfId="1" priority="3" operator="between">
      <formula>3.3</formula>
      <formula>4</formula>
    </cfRule>
    <cfRule type="cellIs" dxfId="0" priority="4" operator="greaterThan">
      <formula>4</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Executive Summary</vt:lpstr>
      <vt:lpstr>Cấu trúc &amp; Trọng số</vt:lpstr>
      <vt:lpstr>LEAD_CÔNG NGHỆ</vt:lpstr>
      <vt:lpstr>MÔ TẢ - PHỤ LỤC</vt:lpstr>
      <vt:lpstr>Summary_Ranking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Trinh Quoc Hoan Dat</cp:lastModifiedBy>
  <dcterms:created xsi:type="dcterms:W3CDTF">2026-01-27T07:04:19Z</dcterms:created>
  <dcterms:modified xsi:type="dcterms:W3CDTF">2026-02-03T10:19:59Z</dcterms:modified>
</cp:coreProperties>
</file>