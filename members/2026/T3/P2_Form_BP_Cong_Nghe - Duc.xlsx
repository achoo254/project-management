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ONG VIEC\project-management\members\"/>
    </mc:Choice>
  </mc:AlternateContent>
  <xr:revisionPtr revIDLastSave="0" documentId="13_ncr:1_{97106A24-265F-4D82-AC37-04A8ACB27887}" xr6:coauthVersionLast="47" xr6:coauthVersionMax="47" xr10:uidLastSave="{00000000-0000-0000-0000-000000000000}"/>
  <bookViews>
    <workbookView xWindow="-108" yWindow="-108" windowWidth="23256" windowHeight="12576" tabRatio="645" activeTab="2" xr2:uid="{00000000-000D-0000-FFFF-FFFF00000000}"/>
  </bookViews>
  <sheets>
    <sheet name="TỔNG QUAN &amp; LƯU Ý" sheetId="1" r:id="rId1"/>
    <sheet name="CẤU TRÚC &amp; TRỌNG SỐ" sheetId="2" r:id="rId2"/>
    <sheet name="ĐÁNH GIÁ HIỆU SUẤT P2" sheetId="3" r:id="rId3"/>
    <sheet name="MÔ TẢ - PHỤ LỤC" sheetId="4" r:id="rId4"/>
    <sheet name="NHÂN SỰ" sheetId="6" r:id="rId5"/>
    <sheet name="Summary_Ranking" sheetId="5"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3" l="1"/>
  <c r="B4" i="3"/>
  <c r="B8" i="3" s="1"/>
  <c r="D8" i="3" s="1"/>
  <c r="N35" i="5"/>
  <c r="M35" i="5"/>
  <c r="K35" i="5"/>
  <c r="J35" i="5"/>
  <c r="G35" i="5"/>
  <c r="F35" i="5"/>
  <c r="N34" i="5"/>
  <c r="M34" i="5"/>
  <c r="K34" i="5"/>
  <c r="J34" i="5"/>
  <c r="G34" i="5"/>
  <c r="F34" i="5"/>
  <c r="N33" i="5"/>
  <c r="M33" i="5"/>
  <c r="K33" i="5"/>
  <c r="J33" i="5"/>
  <c r="G33" i="5"/>
  <c r="F33" i="5"/>
  <c r="N32" i="5"/>
  <c r="M32" i="5"/>
  <c r="K32" i="5"/>
  <c r="J32" i="5"/>
  <c r="G32" i="5"/>
  <c r="F32" i="5"/>
  <c r="N31" i="5"/>
  <c r="M31" i="5"/>
  <c r="K31" i="5"/>
  <c r="J31" i="5"/>
  <c r="G31" i="5"/>
  <c r="F31" i="5"/>
  <c r="N30" i="5"/>
  <c r="M30" i="5"/>
  <c r="K30" i="5"/>
  <c r="J30" i="5"/>
  <c r="G30" i="5"/>
  <c r="F30" i="5"/>
  <c r="N29" i="5"/>
  <c r="M29" i="5"/>
  <c r="K29" i="5"/>
  <c r="J29" i="5"/>
  <c r="G29" i="5"/>
  <c r="F29" i="5"/>
  <c r="N28" i="5"/>
  <c r="M28" i="5"/>
  <c r="K28" i="5"/>
  <c r="J28" i="5"/>
  <c r="G28" i="5"/>
  <c r="F28" i="5"/>
  <c r="N27" i="5"/>
  <c r="M27" i="5"/>
  <c r="K27" i="5"/>
  <c r="J27" i="5"/>
  <c r="G27" i="5"/>
  <c r="F27" i="5"/>
  <c r="N26" i="5"/>
  <c r="M26" i="5"/>
  <c r="K26" i="5"/>
  <c r="J26" i="5"/>
  <c r="G26" i="5"/>
  <c r="F26" i="5"/>
  <c r="N25" i="5"/>
  <c r="M25" i="5"/>
  <c r="K25" i="5"/>
  <c r="J25" i="5"/>
  <c r="G25" i="5"/>
  <c r="F25" i="5"/>
  <c r="N24" i="5"/>
  <c r="M24" i="5"/>
  <c r="K24" i="5"/>
  <c r="J24" i="5"/>
  <c r="G24" i="5"/>
  <c r="F24" i="5"/>
  <c r="N23" i="5"/>
  <c r="M23" i="5"/>
  <c r="K23" i="5"/>
  <c r="J23" i="5"/>
  <c r="G23" i="5"/>
  <c r="F23" i="5"/>
  <c r="N22" i="5"/>
  <c r="M22" i="5"/>
  <c r="K22" i="5"/>
  <c r="J22" i="5"/>
  <c r="G22" i="5"/>
  <c r="F22" i="5"/>
  <c r="N21" i="5"/>
  <c r="M21" i="5"/>
  <c r="K21" i="5"/>
  <c r="J21" i="5"/>
  <c r="G21" i="5"/>
  <c r="F21" i="5"/>
  <c r="N20" i="5"/>
  <c r="M20" i="5"/>
  <c r="K20" i="5"/>
  <c r="J20" i="5"/>
  <c r="G20" i="5"/>
  <c r="F20" i="5"/>
  <c r="N19" i="5"/>
  <c r="M19" i="5"/>
  <c r="K19" i="5"/>
  <c r="J19" i="5"/>
  <c r="G19" i="5"/>
  <c r="F19" i="5"/>
  <c r="N18" i="5"/>
  <c r="M18" i="5"/>
  <c r="K18" i="5"/>
  <c r="J18" i="5"/>
  <c r="G18" i="5"/>
  <c r="F18" i="5"/>
  <c r="N17" i="5"/>
  <c r="M17" i="5"/>
  <c r="K17" i="5"/>
  <c r="J17" i="5"/>
  <c r="G17" i="5"/>
  <c r="F17" i="5"/>
  <c r="N16" i="5"/>
  <c r="M16" i="5"/>
  <c r="K16" i="5"/>
  <c r="J16" i="5"/>
  <c r="G16" i="5"/>
  <c r="F16" i="5"/>
  <c r="N15" i="5"/>
  <c r="M15" i="5"/>
  <c r="K15" i="5"/>
  <c r="J15" i="5"/>
  <c r="G15" i="5"/>
  <c r="F15" i="5"/>
  <c r="N14" i="5"/>
  <c r="M14" i="5"/>
  <c r="K14" i="5"/>
  <c r="J14" i="5"/>
  <c r="G14" i="5"/>
  <c r="F14" i="5"/>
  <c r="N13" i="5"/>
  <c r="M13" i="5"/>
  <c r="K13" i="5"/>
  <c r="J13" i="5"/>
  <c r="G13" i="5"/>
  <c r="F13" i="5"/>
  <c r="N12" i="5"/>
  <c r="M12" i="5"/>
  <c r="K12" i="5"/>
  <c r="J12" i="5"/>
  <c r="G12" i="5"/>
  <c r="F12" i="5"/>
  <c r="N11" i="5"/>
  <c r="M11" i="5"/>
  <c r="K11" i="5"/>
  <c r="J11" i="5"/>
  <c r="G11" i="5"/>
  <c r="F11" i="5"/>
  <c r="N10" i="5"/>
  <c r="M10" i="5"/>
  <c r="K10" i="5"/>
  <c r="J10" i="5"/>
  <c r="G10" i="5"/>
  <c r="F10" i="5"/>
  <c r="N9" i="5"/>
  <c r="M9" i="5"/>
  <c r="K9" i="5"/>
  <c r="J9" i="5"/>
  <c r="G9" i="5"/>
  <c r="F9" i="5"/>
  <c r="N8" i="5"/>
  <c r="M8" i="5"/>
  <c r="K8" i="5"/>
  <c r="J8" i="5"/>
  <c r="G8" i="5"/>
  <c r="F8" i="5"/>
  <c r="N7" i="5"/>
  <c r="M7" i="5"/>
  <c r="K7" i="5"/>
  <c r="J7" i="5"/>
  <c r="G7" i="5"/>
  <c r="F7" i="5"/>
  <c r="N6" i="5"/>
  <c r="M6" i="5"/>
  <c r="K6" i="5"/>
  <c r="J6" i="5"/>
  <c r="G6" i="5"/>
  <c r="F6" i="5"/>
  <c r="C20" i="3"/>
  <c r="B9" i="3" l="1"/>
  <c r="D9" i="3" s="1"/>
  <c r="D12" i="3" s="1"/>
  <c r="D13" i="3" s="1"/>
  <c r="B10" i="3"/>
  <c r="D10" i="3" s="1"/>
  <c r="B11" i="3"/>
  <c r="D11" i="3" s="1"/>
  <c r="B12" i="3" l="1"/>
  <c r="C23" i="3"/>
</calcChain>
</file>

<file path=xl/sharedStrings.xml><?xml version="1.0" encoding="utf-8"?>
<sst xmlns="http://schemas.openxmlformats.org/spreadsheetml/2006/main" count="245" uniqueCount="182">
  <si>
    <t>CẤU TRÚC &amp; TRỌNG SỐ P2+</t>
  </si>
  <si>
    <t>I. CẤU TRÚC TỔNG THỂ P2+</t>
  </si>
  <si>
    <t>P2+ gồm 2 thành phần:</t>
  </si>
  <si>
    <t>A. P2-Core – Năng lực &amp; cách làm việc</t>
  </si>
  <si>
    <t xml:space="preserve">  • A. Năng lực kỹ thuật</t>
  </si>
  <si>
    <t xml:space="preserve">  • B. Ownership &amp; Trách nhiệm</t>
  </si>
  <si>
    <t xml:space="preserve">  • C. DevOps &amp; Vận hành</t>
  </si>
  <si>
    <t xml:space="preserve">  • D. AI Agent &amp; Cải tiến</t>
  </si>
  <si>
    <t>B. P2-Delivery – Kết quả công việc</t>
  </si>
  <si>
    <t xml:space="preserve">  • OKR/KPI tháng hoặc quý</t>
  </si>
  <si>
    <t xml:space="preserve">  • Chất lượng delivery</t>
  </si>
  <si>
    <t>II. CÁCH TÍNH ĐIỂM P2+</t>
  </si>
  <si>
    <t>P2+ là điểm đánh giá cuối cùng dùng để xếp loại năng lực.</t>
  </si>
  <si>
    <t>P2+ Tổng = (P2-Core × A) + (P2-Delivery × B)</t>
  </si>
  <si>
    <t>📌 Trong đó:</t>
  </si>
  <si>
    <t>P2-Core: phản ánh năng lực &amp; cách làm việc dài hạn</t>
  </si>
  <si>
    <t>P2-Delivery: phản ánh kết quả thực tế trong kỳ</t>
  </si>
  <si>
    <t>Trọng số A (Core) và B (Delivery): được điều chỉnh theo mục tiêu từng giai đoạn</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</si>
  <si>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</si>
  <si>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</si>
  <si>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</si>
  <si>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</si>
  <si>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</si>
  <si>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</si>
  <si>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</si>
  <si>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</si>
  <si>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</si>
  <si>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</si>
  <si>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TRỌNG SỐ THEO VAI TRÒ</t>
  </si>
  <si>
    <t>Vai trò</t>
  </si>
  <si>
    <t>Năng lực kỹ thuật</t>
  </si>
  <si>
    <t>Ownership &amp; trách nhiệm</t>
  </si>
  <si>
    <t>DevOps &amp; vận hành</t>
  </si>
  <si>
    <t>AI Agent &amp; cải tiến</t>
  </si>
  <si>
    <t>Design System</t>
  </si>
  <si>
    <t>Backend</t>
  </si>
  <si>
    <t>Frontend</t>
  </si>
  <si>
    <t>Fullstack</t>
  </si>
  <si>
    <t>V. NGƯỠNG XẾP LOẠI</t>
  </si>
  <si>
    <t>P2+ Tổng</t>
  </si>
  <si>
    <t>Xếp loại</t>
  </si>
  <si>
    <t>&lt; 1</t>
  </si>
  <si>
    <t>Chưa đạt</t>
  </si>
  <si>
    <t>1</t>
  </si>
  <si>
    <t>Đạt</t>
  </si>
  <si>
    <t>&gt; 1 và ≤ 1.2</t>
  </si>
  <si>
    <t>Tốt</t>
  </si>
  <si>
    <t>Level 2 Core</t>
  </si>
  <si>
    <t>Điểm</t>
  </si>
  <si>
    <t>Chưa Đạt</t>
  </si>
  <si>
    <t>Level 2 Delivery</t>
  </si>
  <si>
    <t>A &amp; B</t>
  </si>
  <si>
    <t>Trọng số (MAX 1)</t>
  </si>
  <si>
    <t>A (Core)</t>
  </si>
  <si>
    <t>B (Delivery)</t>
  </si>
  <si>
    <t>Weight Delivery</t>
  </si>
  <si>
    <t>OKR/KPI</t>
  </si>
  <si>
    <t>Chất lượng</t>
  </si>
  <si>
    <t>Cam kết</t>
  </si>
  <si>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</si>
  <si>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</si>
  <si>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</si>
  <si>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</si>
  <si>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P2 PERFORMANCE EVALUATION</t>
  </si>
  <si>
    <t>Họ và tên</t>
  </si>
  <si>
    <t>TRỊNH QUỐC HOÀN ĐẠT</t>
  </si>
  <si>
    <t>Kỳ đánh giá</t>
  </si>
  <si>
    <t>Người đánh giá</t>
  </si>
  <si>
    <t>NĂNG LỰC NỀN TẢNG (P2-Core – thang điểm từ 0.8 đến 1.0)</t>
  </si>
  <si>
    <t>Nhóm năng lực</t>
  </si>
  <si>
    <t>Trọng số (%)</t>
  </si>
  <si>
    <t>Mức hiện tại</t>
  </si>
  <si>
    <t>A. Năng lực kỹ thuật</t>
  </si>
  <si>
    <t>B. Ownership &amp; trách nhiệm</t>
  </si>
  <si>
    <t>C. DevOps &amp; vận hành (bắt buộc)</t>
  </si>
  <si>
    <t>D. AI Agent &amp; cải tiến (bắt buộc)</t>
  </si>
  <si>
    <t>TỔNG ĐIỂM</t>
  </si>
  <si>
    <t>ĐÁNH GIÁ P2-CORE</t>
  </si>
  <si>
    <t>KẾT QUẢ CÔNG VIỆC (P2-Delivery – thang điểm từ 0.8 đến 1.2)</t>
  </si>
  <si>
    <t>Tiêu chí</t>
  </si>
  <si>
    <t>Mô tả</t>
  </si>
  <si>
    <t>MỨC ĐÁNH GIÁ</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</si>
  <si>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</si>
  <si>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</si>
  <si>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</si>
  <si>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</si>
  <si>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</si>
  <si>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</si>
  <si>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KẾT QUẢ HIỆU SUẤT P2</t>
  </si>
  <si>
    <t>ĐÁNH GIÁ TỔNG</t>
  </si>
  <si>
    <t>THANG ĐÁNH GIÁ CHI TIẾT (Level 1/Level 2/Level 3)</t>
  </si>
  <si>
    <t>Mức</t>
  </si>
  <si>
    <t>LEVEL 1</t>
  </si>
  <si>
    <t>Thực hiện được các phần việc rõ ràng khi có hướng dẫn; cần review thường xuyên; chất lượng chưa ổn định.</t>
  </si>
  <si>
    <t>LEVEL 2</t>
  </si>
  <si>
    <t>Tự triển khai độc lập; chất lượng ổn định, ít rework; chủ động xử lý rủi ro và cải thiện sản phẩm.</t>
  </si>
  <si>
    <t>LEVEL 3</t>
  </si>
  <si>
    <t>Extra: Không chỉ hoàn thành tốt phần việc cá nhân mà còn cải tiến sản phẩm, chuẩn hoá cách làm và lan toả kinh nghiệm cho nhóm.</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</si>
  <si>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</si>
  <si>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</si>
  <si>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</si>
  <si>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</si>
  <si>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</si>
  <si>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</si>
  <si>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</si>
  <si>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</si>
  <si>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</si>
  <si>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</si>
  <si>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</si>
  <si>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</si>
  <si>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</si>
  <si>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</si>
  <si>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</si>
  <si>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</si>
  <si>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</si>
  <si>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</si>
  <si>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</si>
  <si>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</si>
  <si>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</si>
  <si>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</si>
  <si>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</si>
  <si>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</si>
  <si>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</si>
  <si>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</si>
  <si>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</si>
  <si>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</si>
  <si>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</si>
  <si>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</si>
  <si>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</si>
  <si>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</si>
  <si>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</si>
  <si>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</si>
  <si>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</si>
  <si>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</si>
  <si>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</si>
  <si>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</si>
  <si>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</si>
  <si>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</si>
  <si>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</si>
  <si>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</si>
  <si>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</si>
  <si>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</si>
  <si>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</si>
  <si>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Cấp độ 4</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</si>
  <si>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</si>
  <si>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</si>
  <si>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</si>
  <si>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Dẫn dắt định hướng kiến trúc ở cấp sản phẩm/hệ thống; xây dựng nền tảng kỹ thuật bền vững cho nhiều sản phẩm; tạo lợi thế công nghệ dài hạn và ảnh hưởng chiến lược đến tổ chức.</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</si>
  <si>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</si>
  <si>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</si>
  <si>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</si>
  <si>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Xây dựng hệ thống vận hành có khả năng tự kiểm soát; chủ động phòng ngừa rủi ro; mô hình quản lý trở thành chuẩn tham chiếu cho các đơn vị khác.</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</si>
  <si>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</si>
  <si>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</si>
  <si>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</si>
  <si>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Định hướng chiến lược AI-first cho toàn bộ bộ phận; xây dựng môi trường phát triển tự động hoá cao (code/doc/test/deploy bằng AI); tối ưu chi phí nhân lực và tăng năng suất vượt trội cho tổ chức.</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</si>
  <si>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</si>
  <si>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</si>
  <si>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</si>
  <si>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Xây dựng đội ngũ tự chủ và kế thừa; phát triển năng lực tổng thể của bộ phận Công Nghệ; tạo văn hoá học tập, cải tiến liên tục và lan toả ảnh hưởng ra toàn công ty.</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</si>
  <si>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</si>
  <si>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</si>
  <si>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</si>
  <si>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</si>
  <si>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</si>
  <si>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</si>
  <si>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</si>
  <si>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</si>
  <si>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</si>
  <si>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</si>
  <si>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</si>
  <si>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</si>
  <si>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</si>
  <si>
    <t>Nguyễn Đăng Đức</t>
  </si>
  <si>
    <t>NHÂN SỰ</t>
  </si>
  <si>
    <t>BÙI VĂN HỔ</t>
  </si>
  <si>
    <t>ĐINH TIẾN CHƯƠNG</t>
  </si>
  <si>
    <t>NGUYỄN ĐĂNG ĐỨC</t>
  </si>
  <si>
    <t>TRẦN CÔNG TUẤN ANH</t>
  </si>
  <si>
    <t>TỔNG</t>
  </si>
  <si>
    <t>VAI TRÒ</t>
  </si>
  <si>
    <t>NGUYỄN HUY HOÀNG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</si>
</sst>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amily val="2"/>
      <charset val="163"/>
    </font>
    <font>
      <i/>
      <sz val="10"/>
      <color rgb="FF404040"/>
      <name val="Calibri"/>
      <family val="2"/>
      <charset val="163"/>
    </font>
    <font>
      <b/>
      <sz val="12"/>
      <color rgb="FFFFFFFF"/>
      <name val="Calibri"/>
      <family val="2"/>
      <charset val="163"/>
    </font>
    <font>
      <b/>
      <sz val="11"/>
      <color rgb="FF1F1F1F"/>
      <name val="Calibri"/>
      <family val="2"/>
      <charset val="163"/>
    </font>
    <font>
      <sz val="11"/>
      <color rgb="FF1F1F1F"/>
      <name val="Calibri"/>
      <family val="2"/>
      <charset val="163"/>
    </font>
    <font>
      <sz val="11"/>
      <color rgb="FF1F1F1F"/>
      <name val="Calibri"/>
      <family val="2"/>
    </font>
    <font>
      <b/>
      <sz val="11"/>
      <color rgb="FF1F1F1F"/>
      <name val="Calibri"/>
      <family val="2"/>
      <charset val="163"/>
    </font>
    <font>
      <b/>
      <sz val="18"/>
      <color rgb="FFFFFFFF"/>
      <name val="Calibri"/>
      <family val="2"/>
      <charset val="163"/>
    </font>
    <font>
      <sz val="11"/>
      <color rgb="FF1F1F1F"/>
      <name val="Calibri"/>
      <family val="2"/>
      <charset val="163"/>
    </font>
    <font>
      <b/>
      <sz val="14"/>
      <color rgb="FFFFFFFF"/>
      <name val="Calibri"/>
      <family val="2"/>
      <charset val="163"/>
    </font>
    <font>
      <b/>
      <sz val="16"/>
      <color rgb="FFFFFFFF"/>
      <name val="Calibri"/>
      <family val="2"/>
      <charset val="163"/>
    </font>
    <font>
      <b/>
      <sz val="11"/>
      <color rgb="FF1F1F1F"/>
      <name val="Calibri"/>
      <family val="2"/>
      <charset val="163"/>
    </font>
    <font>
      <b/>
      <sz val="12"/>
      <color rgb="FF1F1F1F"/>
      <name val="Calibri"/>
      <family val="2"/>
      <charset val="163"/>
    </font>
    <font>
      <b/>
      <sz val="11"/>
      <color rgb="FF1F1F1F"/>
      <name val="Calibri"/>
      <family val="2"/>
    </font>
    <font>
      <b/>
      <sz val="11"/>
      <color theme="0"/>
      <name val="Calibri"/>
      <family val="2"/>
    </font>
    <font>
      <b/>
      <sz val="11"/>
      <color theme="1"/>
      <name val="Calibri"/>
      <family val="2"/>
      <charset val="163"/>
      <scheme val="minor"/>
    </font>
    <font>
      <b/>
      <sz val="11"/>
      <color rgb="FF1F1F1F"/>
      <name val="Calibri"/>
      <family val="2"/>
      <charset val="163"/>
    </font>
  </fonts>
  <fills count="20">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s>
  <borders count="19">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top style="thin">
        <color indexed="64"/>
      </top>
      <bottom style="thin">
        <color indexed="64"/>
      </bottom>
      <diagonal/>
    </border>
  </borders>
  <cellStyleXfs count="1">
    <xf numFmtId="0" fontId="0" fillId="0" borderId="0"/>
  </cellStyleXfs>
  <cellXfs count="9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0" xfId="0" applyFont="1" applyFill="1" applyAlignment="1">
      <alignment horizontal="center" vertical="center" wrapText="1"/>
    </xf>
    <xf numFmtId="0" fontId="0" fillId="5" borderId="3" xfId="0" applyFill="1" applyBorder="1" applyAlignment="1">
      <alignment horizontal="center" vertical="center" wrapText="1"/>
    </xf>
    <xf numFmtId="0" fontId="12" fillId="0" borderId="0" xfId="0" applyFont="1" applyAlignment="1">
      <alignment horizontal="left" vertical="top" wrapText="1"/>
    </xf>
    <xf numFmtId="0" fontId="0" fillId="0" borderId="7" xfId="0" applyBorder="1"/>
    <xf numFmtId="0" fontId="0" fillId="0" borderId="10" xfId="0" applyBorder="1"/>
    <xf numFmtId="0" fontId="0" fillId="0" borderId="3" xfId="0" applyBorder="1"/>
    <xf numFmtId="0" fontId="0" fillId="0" borderId="3" xfId="0" applyBorder="1" applyAlignment="1">
      <alignment horizontal="left" vertical="center" wrapText="1"/>
    </xf>
    <xf numFmtId="0" fontId="0" fillId="0" borderId="3" xfId="0" applyBorder="1" applyAlignment="1">
      <alignment horizontal="center" vertical="center" wrapText="1"/>
    </xf>
    <xf numFmtId="0" fontId="2" fillId="3" borderId="3"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19" fillId="17" borderId="3" xfId="0" applyFont="1" applyFill="1" applyBorder="1" applyAlignment="1">
      <alignment horizontal="center"/>
    </xf>
    <xf numFmtId="0" fontId="2" fillId="19" borderId="3" xfId="0" applyFont="1" applyFill="1" applyBorder="1" applyAlignment="1">
      <alignment horizontal="center" vertical="center" wrapText="1"/>
    </xf>
    <xf numFmtId="0" fontId="0" fillId="0" borderId="3" xfId="0" applyBorder="1" applyAlignment="1">
      <alignment horizontal="center"/>
    </xf>
    <xf numFmtId="0" fontId="0" fillId="0" borderId="0" xfId="0" applyAlignment="1">
      <alignment horizontal="left" vertical="top" wrapText="1"/>
    </xf>
    <xf numFmtId="0" fontId="2" fillId="2" borderId="3" xfId="0" applyFont="1" applyFill="1" applyBorder="1" applyAlignment="1">
      <alignment horizontal="center" vertical="center" wrapText="1"/>
    </xf>
    <xf numFmtId="0" fontId="15" fillId="14" borderId="3"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12" fillId="0" borderId="3" xfId="0" applyFont="1" applyBorder="1" applyAlignment="1">
      <alignment horizontal="left" vertical="center" wrapText="1"/>
    </xf>
    <xf numFmtId="0" fontId="12" fillId="12" borderId="3"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0" fillId="0" borderId="3" xfId="0" applyBorder="1" applyAlignment="1">
      <alignment horizontal="center" vertical="center"/>
    </xf>
    <xf numFmtId="0" fontId="13" fillId="13" borderId="3" xfId="0" applyFont="1" applyFill="1" applyBorder="1" applyAlignment="1">
      <alignment vertical="center" wrapText="1"/>
    </xf>
    <xf numFmtId="0" fontId="13" fillId="13" borderId="3" xfId="0" applyFont="1" applyFill="1" applyBorder="1" applyAlignment="1">
      <alignment horizontal="center" vertical="center" wrapText="1"/>
    </xf>
    <xf numFmtId="0" fontId="20" fillId="0" borderId="0" xfId="0" applyFont="1" applyAlignment="1">
      <alignment horizontal="left" vertical="center" wrapText="1"/>
    </xf>
    <xf numFmtId="2" fontId="12" fillId="0" borderId="0" xfId="0" applyNumberFormat="1" applyFont="1" applyAlignment="1">
      <alignment horizontal="center" vertical="center" wrapText="1"/>
    </xf>
    <xf numFmtId="0" fontId="2" fillId="0" borderId="3" xfId="0" applyFont="1" applyBorder="1" applyAlignment="1">
      <alignment horizontal="left" vertical="center" wrapText="1"/>
    </xf>
    <xf numFmtId="0" fontId="0" fillId="0" borderId="3" xfId="0" applyBorder="1" applyAlignment="1">
      <alignment vertical="center" wrapText="1"/>
    </xf>
    <xf numFmtId="0" fontId="12" fillId="12" borderId="0" xfId="0" applyFont="1" applyFill="1" applyAlignment="1">
      <alignment horizontal="center" vertical="center" wrapText="1"/>
    </xf>
    <xf numFmtId="0" fontId="12" fillId="12" borderId="17"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0" fillId="0" borderId="3" xfId="0" applyBorder="1" applyAlignment="1" applyProtection="1">
      <alignment vertical="center" wrapText="1"/>
      <protection locked="0"/>
    </xf>
    <xf numFmtId="0" fontId="0" fillId="0" borderId="3" xfId="0" applyBorder="1" applyProtection="1">
      <protection locked="0"/>
    </xf>
    <xf numFmtId="0" fontId="0" fillId="0" borderId="3" xfId="0" applyBorder="1" applyAlignment="1" applyProtection="1">
      <alignment horizontal="center" vertical="center" wrapText="1"/>
      <protection locked="0"/>
    </xf>
    <xf numFmtId="2" fontId="12" fillId="0" borderId="3" xfId="0" applyNumberFormat="1" applyFont="1" applyBorder="1" applyAlignment="1">
      <alignment horizontal="center" vertical="center" wrapText="1"/>
    </xf>
    <xf numFmtId="0" fontId="0" fillId="0" borderId="16" xfId="0" applyBorder="1"/>
    <xf numFmtId="0" fontId="7" fillId="14" borderId="3" xfId="0" applyFont="1" applyFill="1" applyBorder="1" applyAlignment="1">
      <alignment horizontal="center" vertical="center" wrapText="1"/>
    </xf>
    <xf numFmtId="0" fontId="18" fillId="16" borderId="3" xfId="0" applyFont="1" applyFill="1" applyBorder="1" applyAlignment="1">
      <alignment horizontal="center" vertical="center" wrapText="1"/>
    </xf>
    <xf numFmtId="0" fontId="0" fillId="0" borderId="15" xfId="0" applyBorder="1"/>
    <xf numFmtId="0" fontId="0" fillId="5" borderId="3" xfId="0" applyFill="1" applyBorder="1" applyAlignment="1">
      <alignment horizontal="left" vertical="center" wrapText="1"/>
    </xf>
    <xf numFmtId="0" fontId="1" fillId="19" borderId="3" xfId="0" applyFont="1" applyFill="1" applyBorder="1" applyAlignment="1">
      <alignment horizontal="center" vertical="center" wrapText="1"/>
    </xf>
    <xf numFmtId="0" fontId="19" fillId="0" borderId="4" xfId="0" applyFont="1" applyBorder="1" applyAlignment="1">
      <alignment horizontal="center"/>
    </xf>
    <xf numFmtId="0" fontId="0" fillId="0" borderId="4" xfId="0" applyBorder="1"/>
    <xf numFmtId="0" fontId="17" fillId="0" borderId="3" xfId="0" applyFont="1" applyBorder="1" applyAlignment="1">
      <alignment horizontal="left" vertical="center" wrapText="1"/>
    </xf>
    <xf numFmtId="0" fontId="12" fillId="0" borderId="3" xfId="0" applyFont="1" applyBorder="1" applyAlignment="1" applyProtection="1">
      <alignment horizontal="center" vertical="center" wrapText="1"/>
      <protection locked="0"/>
    </xf>
    <xf numFmtId="0" fontId="0" fillId="0" borderId="16" xfId="0" applyBorder="1" applyProtection="1">
      <protection locked="0"/>
    </xf>
    <xf numFmtId="0" fontId="7" fillId="0" borderId="3" xfId="0" applyFont="1" applyBorder="1" applyAlignment="1">
      <alignment horizontal="left" vertical="center" wrapText="1"/>
    </xf>
    <xf numFmtId="0" fontId="3" fillId="4"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9" fillId="0" borderId="18" xfId="0" applyFont="1" applyBorder="1" applyAlignment="1">
      <alignment horizontal="left"/>
    </xf>
    <xf numFmtId="0" fontId="19" fillId="0" borderId="15" xfId="0" applyFont="1" applyBorder="1" applyAlignment="1">
      <alignment horizontal="left"/>
    </xf>
    <xf numFmtId="0" fontId="19" fillId="0" borderId="16" xfId="0" applyFont="1" applyBorder="1" applyAlignment="1">
      <alignment horizontal="left"/>
    </xf>
    <xf numFmtId="0" fontId="19" fillId="0" borderId="3" xfId="0" applyFont="1" applyBorder="1" applyAlignment="1">
      <alignment horizontal="left" vertical="center"/>
    </xf>
    <xf numFmtId="0" fontId="19" fillId="0" borderId="3" xfId="0" applyFont="1" applyBorder="1" applyAlignment="1">
      <alignment horizontal="center" vertical="center"/>
    </xf>
    <xf numFmtId="0" fontId="18" fillId="16" borderId="7" xfId="0" applyFont="1" applyFill="1" applyBorder="1" applyAlignment="1">
      <alignment horizontal="center" vertical="center" wrapText="1"/>
    </xf>
    <xf numFmtId="0" fontId="0" fillId="0" borderId="0" xfId="0"/>
    <xf numFmtId="0" fontId="12" fillId="12" borderId="0" xfId="0" applyFont="1" applyFill="1" applyAlignment="1">
      <alignment horizontal="left" vertical="top" wrapText="1"/>
    </xf>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13" fillId="13" borderId="3" xfId="0" applyFont="1" applyFill="1" applyBorder="1" applyAlignment="1">
      <alignment horizontal="left" vertical="center" wrapText="1"/>
    </xf>
    <xf numFmtId="0" fontId="0" fillId="0" borderId="3" xfId="0" applyBorder="1"/>
    <xf numFmtId="0" fontId="15" fillId="14" borderId="8" xfId="0" applyFont="1" applyFill="1" applyBorder="1" applyAlignment="1">
      <alignment horizontal="left" vertical="center" wrapText="1"/>
    </xf>
    <xf numFmtId="0" fontId="0" fillId="0" borderId="5" xfId="0" applyBorder="1"/>
    <xf numFmtId="0" fontId="12" fillId="0" borderId="9" xfId="0" applyFont="1" applyBorder="1" applyAlignment="1">
      <alignment horizontal="left" vertical="center" wrapText="1"/>
    </xf>
    <xf numFmtId="0" fontId="0" fillId="0" borderId="9" xfId="0" applyBorder="1"/>
    <xf numFmtId="0" fontId="14" fillId="11" borderId="0" xfId="0" applyFont="1" applyFill="1" applyAlignment="1">
      <alignment horizontal="center" vertical="center" wrapText="1"/>
    </xf>
    <xf numFmtId="0" fontId="12" fillId="0" borderId="11" xfId="0" applyFont="1" applyBorder="1" applyAlignment="1">
      <alignment horizontal="left" vertical="top" wrapText="1"/>
    </xf>
    <xf numFmtId="0" fontId="0" fillId="0" borderId="6" xfId="0" applyBorder="1"/>
    <xf numFmtId="0" fontId="0" fillId="0" borderId="11" xfId="0" applyBorder="1"/>
    <xf numFmtId="0" fontId="12" fillId="0" borderId="9" xfId="0" applyFont="1" applyBorder="1" applyAlignment="1">
      <alignment horizontal="left" vertical="top" wrapText="1"/>
    </xf>
    <xf numFmtId="0" fontId="13" fillId="13" borderId="8" xfId="0" applyFont="1" applyFill="1" applyBorder="1" applyAlignment="1">
      <alignment horizontal="left" vertical="center" wrapText="1"/>
    </xf>
    <xf numFmtId="0" fontId="16" fillId="12" borderId="13" xfId="0" applyFont="1" applyFill="1" applyBorder="1" applyAlignment="1">
      <alignment horizontal="center" vertical="center" wrapText="1"/>
    </xf>
    <xf numFmtId="0" fontId="12" fillId="0" borderId="0" xfId="0" applyFont="1" applyAlignment="1">
      <alignment horizontal="left" vertical="center" wrapText="1"/>
    </xf>
    <xf numFmtId="0" fontId="12" fillId="0" borderId="11" xfId="0" applyFont="1" applyBorder="1" applyAlignment="1">
      <alignment horizontal="left" vertical="center" wrapText="1"/>
    </xf>
    <xf numFmtId="0" fontId="13" fillId="13" borderId="6" xfId="0" applyFont="1" applyFill="1" applyBorder="1" applyAlignment="1">
      <alignment horizontal="left" vertical="center" wrapText="1"/>
    </xf>
    <xf numFmtId="0" fontId="13" fillId="13" borderId="0" xfId="0" applyFont="1" applyFill="1" applyAlignment="1">
      <alignment horizontal="left" vertical="center" wrapText="1"/>
    </xf>
    <xf numFmtId="0" fontId="7" fillId="15" borderId="8" xfId="0" applyFont="1" applyFill="1" applyBorder="1" applyAlignment="1">
      <alignment horizontal="left" vertical="center" wrapText="1"/>
    </xf>
    <xf numFmtId="0" fontId="7" fillId="15" borderId="14" xfId="0" applyFont="1" applyFill="1" applyBorder="1" applyAlignment="1">
      <alignment horizontal="left" vertical="center" wrapText="1"/>
    </xf>
    <xf numFmtId="0" fontId="8" fillId="12" borderId="14" xfId="0" applyFont="1" applyFill="1" applyBorder="1" applyAlignment="1">
      <alignment horizontal="left" vertical="center" wrapText="1"/>
    </xf>
    <xf numFmtId="0" fontId="8" fillId="0" borderId="0" xfId="0" applyFont="1" applyAlignment="1">
      <alignment horizontal="left" vertical="center" wrapText="1"/>
    </xf>
    <xf numFmtId="0" fontId="15" fillId="14" borderId="14" xfId="0" applyFont="1" applyFill="1" applyBorder="1" applyAlignment="1">
      <alignment horizontal="left" vertical="center" wrapText="1"/>
    </xf>
    <xf numFmtId="0" fontId="15" fillId="0" borderId="0" xfId="0" applyFont="1" applyAlignment="1">
      <alignment horizontal="left" vertical="center" wrapText="1"/>
    </xf>
    <xf numFmtId="0" fontId="4" fillId="6" borderId="0" xfId="0" applyFont="1" applyFill="1" applyAlignment="1">
      <alignment horizontal="center" vertical="center"/>
    </xf>
    <xf numFmtId="0" fontId="6" fillId="7" borderId="0" xfId="0" applyFont="1" applyFill="1" applyAlignment="1">
      <alignment horizontal="left" vertical="center" wrapText="1"/>
    </xf>
    <xf numFmtId="0" fontId="6" fillId="7" borderId="12" xfId="0" applyFont="1" applyFill="1" applyBorder="1" applyAlignment="1">
      <alignment horizontal="left" vertical="center" wrapText="1"/>
    </xf>
    <xf numFmtId="0" fontId="0" fillId="0" borderId="12" xfId="0" applyBorder="1"/>
    <xf numFmtId="0" fontId="5"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vertical="center" wrapText="1"/>
    </xf>
  </cellXfs>
  <cellStyles count="1">
    <cellStyle name="Normal" xfId="0" builtinId="0"/>
  </cellStyles>
  <dxfs count="15">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F0000"/>
        </patternFill>
      </fill>
    </dxf>
    <dxf>
      <fill>
        <patternFill>
          <bgColor rgb="FFFF0000"/>
        </patternFill>
      </fill>
    </dxf>
    <dxf>
      <fill>
        <patternFill>
          <bgColor rgb="FFDCFCE7"/>
        </patternFill>
      </fill>
    </dxf>
    <dxf>
      <fill>
        <patternFill>
          <bgColor rgb="FF92D050"/>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
      <alignment horizontal="lef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D9">
  <autoFilter ref="A5:D9" xr:uid="{00000000-0009-0000-0100-000001000000}"/>
  <tableColumns count="4">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vels_Designer_2" displayName="Levels_Designer_2" ref="A12:D16">
  <autoFilter ref="A12:D16" xr:uid="{00000000-0009-0000-0100-000002000000}"/>
  <tableColumns count="4">
    <tableColumn id="1" xr3:uid="{00000000-0010-0000-0100-000001000000}" name="Nhóm năng lực"/>
    <tableColumn id="2" xr3:uid="{00000000-0010-0000-0100-000002000000}" name="Cấp độ 1"/>
    <tableColumn id="3" xr3:uid="{00000000-0010-0000-0100-000003000000}" name="Cấp độ 2"/>
    <tableColumn id="4" xr3:uid="{00000000-0010-0000-0100-000004000000}" name="Cấp độ 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els_FrontEnd_3" displayName="Levels_FrontEnd_3" ref="A19:D23">
  <autoFilter ref="A19:D23" xr:uid="{00000000-0009-0000-0100-000003000000}"/>
  <tableColumns count="4">
    <tableColumn id="1" xr3:uid="{00000000-0010-0000-0200-000001000000}" name="Nhóm năng lực"/>
    <tableColumn id="2" xr3:uid="{00000000-0010-0000-0200-000002000000}" name="Cấp độ 1"/>
    <tableColumn id="3" xr3:uid="{00000000-0010-0000-0200-000003000000}" name="Cấp độ 2"/>
    <tableColumn id="4" xr3:uid="{00000000-0010-0000-0200-000004000000}" name="Cấp độ 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vels_FullStack_4" displayName="Levels_FullStack_4" ref="A26:E30">
  <autoFilter ref="A26:E30" xr:uid="{00000000-0009-0000-0100-000004000000}"/>
  <tableColumns count="5">
    <tableColumn id="1" xr3:uid="{00000000-0010-0000-0300-000001000000}" name="Nhóm năng lực"/>
    <tableColumn id="2" xr3:uid="{00000000-0010-0000-0300-000002000000}" name="Cấp độ 1"/>
    <tableColumn id="3" xr3:uid="{00000000-0010-0000-0300-000003000000}" name="Cấp độ 2"/>
    <tableColumn id="4" xr3:uid="{00000000-0010-0000-0300-000004000000}" name="Cấp độ 3"/>
    <tableColumn id="5" xr3:uid="{00000000-0010-0000-0300-000005000000}" name="Cấp độ 4" dataDxfId="14"/>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G8" sqref="G8"/>
    </sheetView>
  </sheetViews>
  <sheetFormatPr defaultRowHeight="14.4" x14ac:dyDescent="0.3"/>
  <cols>
    <col min="1" max="5" width="20" customWidth="1"/>
  </cols>
  <sheetData>
    <row r="1" spans="1:5" ht="40.049999999999997" customHeight="1" x14ac:dyDescent="0.3">
      <c r="A1" s="66" t="s">
        <v>59</v>
      </c>
      <c r="B1" s="64"/>
      <c r="C1" s="64"/>
      <c r="D1" s="64"/>
      <c r="E1" s="64"/>
    </row>
    <row r="3" spans="1:5" ht="79.95" customHeight="1" x14ac:dyDescent="0.3">
      <c r="A3" s="68" t="s">
        <v>60</v>
      </c>
      <c r="B3" s="64"/>
      <c r="C3" s="64"/>
      <c r="D3" s="64"/>
      <c r="E3" s="64"/>
    </row>
    <row r="5" spans="1:5" ht="25.05" customHeight="1" x14ac:dyDescent="0.3">
      <c r="A5" s="67" t="s">
        <v>61</v>
      </c>
      <c r="B5" s="64"/>
      <c r="C5" s="64"/>
      <c r="D5" s="64"/>
      <c r="E5" s="64"/>
    </row>
    <row r="6" spans="1:5" ht="60" customHeight="1" x14ac:dyDescent="0.3">
      <c r="A6" s="65" t="s">
        <v>62</v>
      </c>
      <c r="B6" s="64"/>
      <c r="C6" s="64"/>
      <c r="D6" s="64"/>
      <c r="E6" s="64"/>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6"/>
  <sheetViews>
    <sheetView workbookViewId="0">
      <pane ySplit="1" topLeftCell="A53" activePane="bottomLeft" state="frozen"/>
      <selection pane="bottomLeft" activeCell="B65" sqref="B65"/>
    </sheetView>
  </sheetViews>
  <sheetFormatPr defaultRowHeight="14.4" x14ac:dyDescent="0.3"/>
  <cols>
    <col min="1" max="1" width="25" customWidth="1"/>
    <col min="2" max="4" width="30" customWidth="1"/>
    <col min="5" max="5" width="19.44140625" customWidth="1"/>
  </cols>
  <sheetData>
    <row r="1" spans="1:4" ht="34.950000000000003" customHeight="1" x14ac:dyDescent="0.3">
      <c r="A1" s="75" t="s">
        <v>0</v>
      </c>
      <c r="B1" s="64"/>
      <c r="C1" s="64"/>
      <c r="D1" s="64"/>
    </row>
    <row r="3" spans="1:4" ht="25.05" customHeight="1" x14ac:dyDescent="0.3">
      <c r="A3" s="80" t="s">
        <v>1</v>
      </c>
      <c r="B3" s="51"/>
      <c r="C3" s="51"/>
      <c r="D3" s="72"/>
    </row>
    <row r="4" spans="1:4" ht="19.95" customHeight="1" x14ac:dyDescent="0.3">
      <c r="A4" s="90" t="s">
        <v>2</v>
      </c>
      <c r="B4" s="64"/>
      <c r="C4" s="64"/>
      <c r="D4" s="74"/>
    </row>
    <row r="5" spans="1:4" ht="19.95" customHeight="1" x14ac:dyDescent="0.3">
      <c r="A5" s="87" t="s">
        <v>3</v>
      </c>
      <c r="B5" s="64"/>
      <c r="C5" s="64"/>
      <c r="D5" s="74"/>
    </row>
    <row r="6" spans="1:4" ht="18" customHeight="1" x14ac:dyDescent="0.3">
      <c r="A6" s="13"/>
      <c r="B6" s="73" t="s">
        <v>4</v>
      </c>
      <c r="C6" s="64"/>
      <c r="D6" s="74"/>
    </row>
    <row r="7" spans="1:4" ht="18" customHeight="1" x14ac:dyDescent="0.3">
      <c r="A7" s="13"/>
      <c r="B7" s="73" t="s">
        <v>5</v>
      </c>
      <c r="C7" s="64"/>
      <c r="D7" s="74"/>
    </row>
    <row r="8" spans="1:4" ht="18" customHeight="1" x14ac:dyDescent="0.3">
      <c r="A8" s="13"/>
      <c r="B8" s="73" t="s">
        <v>6</v>
      </c>
      <c r="C8" s="64"/>
      <c r="D8" s="74"/>
    </row>
    <row r="9" spans="1:4" ht="18" customHeight="1" x14ac:dyDescent="0.3">
      <c r="A9" s="14"/>
      <c r="B9" s="83" t="s">
        <v>7</v>
      </c>
      <c r="C9" s="77"/>
      <c r="D9" s="78"/>
    </row>
    <row r="11" spans="1:4" ht="19.95" customHeight="1" x14ac:dyDescent="0.3">
      <c r="A11" s="86" t="s">
        <v>8</v>
      </c>
      <c r="B11" s="51"/>
      <c r="C11" s="51"/>
      <c r="D11" s="72"/>
    </row>
    <row r="12" spans="1:4" ht="18" customHeight="1" x14ac:dyDescent="0.3">
      <c r="A12" s="13"/>
      <c r="B12" s="73" t="s">
        <v>9</v>
      </c>
      <c r="C12" s="64"/>
      <c r="D12" s="74"/>
    </row>
    <row r="13" spans="1:4" ht="18" customHeight="1" x14ac:dyDescent="0.3">
      <c r="A13" s="14"/>
      <c r="B13" s="83" t="s">
        <v>10</v>
      </c>
      <c r="C13" s="77"/>
      <c r="D13" s="78"/>
    </row>
    <row r="16" spans="1:4" ht="25.05" customHeight="1" x14ac:dyDescent="0.3">
      <c r="A16" s="80" t="s">
        <v>11</v>
      </c>
      <c r="B16" s="51"/>
      <c r="C16" s="51"/>
      <c r="D16" s="72"/>
    </row>
    <row r="17" spans="1:4" ht="25.8" customHeight="1" x14ac:dyDescent="0.3">
      <c r="A17" s="88" t="s">
        <v>12</v>
      </c>
      <c r="B17" s="64"/>
      <c r="C17" s="64"/>
      <c r="D17" s="74"/>
    </row>
    <row r="18" spans="1:4" ht="30" customHeight="1" x14ac:dyDescent="0.3">
      <c r="A18" s="81" t="s">
        <v>13</v>
      </c>
      <c r="B18" s="77"/>
      <c r="C18" s="77"/>
      <c r="D18" s="78"/>
    </row>
    <row r="19" spans="1:4" ht="19.95" customHeight="1" x14ac:dyDescent="0.3">
      <c r="A19" s="91" t="s">
        <v>14</v>
      </c>
      <c r="B19" s="64"/>
      <c r="C19" s="64"/>
      <c r="D19" s="64"/>
    </row>
    <row r="20" spans="1:4" ht="18" customHeight="1" x14ac:dyDescent="0.3">
      <c r="A20" s="82" t="s">
        <v>15</v>
      </c>
      <c r="B20" s="64"/>
      <c r="C20" s="64"/>
      <c r="D20" s="64"/>
    </row>
    <row r="21" spans="1:4" ht="18" customHeight="1" x14ac:dyDescent="0.3">
      <c r="A21" s="82" t="s">
        <v>16</v>
      </c>
      <c r="B21" s="64"/>
      <c r="C21" s="64"/>
      <c r="D21" s="64"/>
    </row>
    <row r="22" spans="1:4" ht="18" customHeight="1" x14ac:dyDescent="0.3">
      <c r="A22" s="89" t="s">
        <v>17</v>
      </c>
      <c r="B22" s="64"/>
      <c r="C22" s="64"/>
      <c r="D22" s="64"/>
    </row>
    <row r="24" spans="1:4" ht="25.05" customHeight="1" x14ac:dyDescent="0.3">
      <c r="A24" s="85" t="s">
        <v>18</v>
      </c>
      <c r="B24" s="64"/>
      <c r="C24" s="64"/>
      <c r="D24" s="64"/>
    </row>
    <row r="25" spans="1:4" ht="19.95" customHeight="1" x14ac:dyDescent="0.3">
      <c r="A25" s="71" t="s">
        <v>19</v>
      </c>
      <c r="B25" s="51"/>
      <c r="C25" s="51"/>
      <c r="D25" s="72"/>
    </row>
    <row r="26" spans="1:4" ht="19.95" customHeight="1" x14ac:dyDescent="0.3">
      <c r="A26" s="13"/>
      <c r="B26" s="79" t="s">
        <v>20</v>
      </c>
      <c r="C26" s="64"/>
      <c r="D26" s="74"/>
    </row>
    <row r="27" spans="1:4" ht="19.95" customHeight="1" x14ac:dyDescent="0.3">
      <c r="A27" s="13"/>
      <c r="B27" s="79" t="s">
        <v>21</v>
      </c>
      <c r="C27" s="64"/>
      <c r="D27" s="74"/>
    </row>
    <row r="28" spans="1:4" ht="19.95" customHeight="1" x14ac:dyDescent="0.3">
      <c r="A28" s="14"/>
      <c r="B28" s="76" t="s">
        <v>22</v>
      </c>
      <c r="C28" s="77"/>
      <c r="D28" s="78"/>
    </row>
    <row r="30" spans="1:4" ht="19.95" customHeight="1" x14ac:dyDescent="0.3">
      <c r="A30" s="71" t="s">
        <v>23</v>
      </c>
      <c r="B30" s="51"/>
      <c r="C30" s="51"/>
      <c r="D30" s="72"/>
    </row>
    <row r="31" spans="1:4" ht="34.200000000000003" customHeight="1" x14ac:dyDescent="0.3">
      <c r="A31" s="14"/>
      <c r="B31" s="76" t="s">
        <v>24</v>
      </c>
      <c r="C31" s="77"/>
      <c r="D31" s="78"/>
    </row>
    <row r="33" spans="1:5" ht="19.95" customHeight="1" x14ac:dyDescent="0.3">
      <c r="A33" s="71" t="s">
        <v>25</v>
      </c>
      <c r="B33" s="51"/>
      <c r="C33" s="51"/>
      <c r="D33" s="72"/>
    </row>
    <row r="34" spans="1:5" ht="19.95" customHeight="1" x14ac:dyDescent="0.3">
      <c r="A34" s="13"/>
      <c r="B34" s="79" t="s">
        <v>26</v>
      </c>
      <c r="C34" s="64"/>
      <c r="D34" s="74"/>
    </row>
    <row r="35" spans="1:5" ht="19.95" customHeight="1" x14ac:dyDescent="0.3">
      <c r="A35" s="14"/>
      <c r="B35" s="76" t="s">
        <v>27</v>
      </c>
      <c r="C35" s="77"/>
      <c r="D35" s="78"/>
    </row>
    <row r="36" spans="1:5" ht="19.95" customHeight="1" x14ac:dyDescent="0.3">
      <c r="B36" s="12"/>
    </row>
    <row r="37" spans="1:5" ht="19.95" customHeight="1" x14ac:dyDescent="0.3">
      <c r="A37" s="84" t="s">
        <v>28</v>
      </c>
      <c r="B37" s="77"/>
      <c r="C37" s="77"/>
      <c r="D37" s="77"/>
      <c r="E37" s="77"/>
    </row>
    <row r="38" spans="1:5" ht="19.95" customHeight="1" x14ac:dyDescent="0.3">
      <c r="A38" s="26" t="s">
        <v>29</v>
      </c>
      <c r="B38" s="26" t="s">
        <v>30</v>
      </c>
      <c r="C38" s="26" t="s">
        <v>31</v>
      </c>
      <c r="D38" s="26" t="s">
        <v>32</v>
      </c>
      <c r="E38" s="26" t="s">
        <v>33</v>
      </c>
    </row>
    <row r="39" spans="1:5" ht="19.95" customHeight="1" x14ac:dyDescent="0.3">
      <c r="A39" s="29" t="s">
        <v>34</v>
      </c>
      <c r="B39" s="28">
        <v>30</v>
      </c>
      <c r="C39" s="30">
        <v>25</v>
      </c>
      <c r="D39" s="30">
        <v>15</v>
      </c>
      <c r="E39" s="30">
        <v>30</v>
      </c>
    </row>
    <row r="40" spans="1:5" x14ac:dyDescent="0.3">
      <c r="A40" s="28" t="s">
        <v>35</v>
      </c>
      <c r="B40" s="28">
        <v>35</v>
      </c>
      <c r="C40" s="30">
        <v>25</v>
      </c>
      <c r="D40" s="30">
        <v>15</v>
      </c>
      <c r="E40" s="30">
        <v>25</v>
      </c>
    </row>
    <row r="41" spans="1:5" x14ac:dyDescent="0.3">
      <c r="A41" s="28" t="s">
        <v>36</v>
      </c>
      <c r="B41" s="28">
        <v>30</v>
      </c>
      <c r="C41" s="30">
        <v>25</v>
      </c>
      <c r="D41" s="30">
        <v>10</v>
      </c>
      <c r="E41" s="30">
        <v>35</v>
      </c>
    </row>
    <row r="42" spans="1:5" x14ac:dyDescent="0.3">
      <c r="A42" s="28" t="s">
        <v>37</v>
      </c>
      <c r="B42" s="28">
        <v>30</v>
      </c>
      <c r="C42" s="30">
        <v>30</v>
      </c>
      <c r="D42" s="30">
        <v>15</v>
      </c>
      <c r="E42" s="30">
        <v>25</v>
      </c>
    </row>
    <row r="43" spans="1:5" x14ac:dyDescent="0.3">
      <c r="A43" s="37"/>
      <c r="B43" s="37"/>
    </row>
    <row r="44" spans="1:5" ht="25.05" customHeight="1" x14ac:dyDescent="0.3">
      <c r="A44" s="69" t="s">
        <v>38</v>
      </c>
      <c r="B44" s="70"/>
    </row>
    <row r="45" spans="1:5" ht="19.95" customHeight="1" x14ac:dyDescent="0.3">
      <c r="A45" s="25" t="s">
        <v>39</v>
      </c>
      <c r="B45" s="25" t="s">
        <v>40</v>
      </c>
    </row>
    <row r="46" spans="1:5" ht="19.95" customHeight="1" x14ac:dyDescent="0.3">
      <c r="A46" s="28" t="s">
        <v>41</v>
      </c>
      <c r="B46" s="28" t="s">
        <v>42</v>
      </c>
    </row>
    <row r="47" spans="1:5" ht="19.95" customHeight="1" x14ac:dyDescent="0.3">
      <c r="A47" s="28" t="s">
        <v>43</v>
      </c>
      <c r="B47" s="28" t="s">
        <v>44</v>
      </c>
    </row>
    <row r="48" spans="1:5" ht="19.95" customHeight="1" x14ac:dyDescent="0.3">
      <c r="A48" s="29" t="s">
        <v>45</v>
      </c>
      <c r="B48" s="28" t="s">
        <v>46</v>
      </c>
    </row>
    <row r="49" spans="1:2" ht="19.95" customHeight="1" x14ac:dyDescent="0.3">
      <c r="A49" s="38"/>
      <c r="B49" s="38"/>
    </row>
    <row r="50" spans="1:2" ht="21" customHeight="1" x14ac:dyDescent="0.3">
      <c r="A50" s="31" t="s">
        <v>47</v>
      </c>
      <c r="B50" s="32" t="s">
        <v>48</v>
      </c>
    </row>
    <row r="51" spans="1:2" x14ac:dyDescent="0.3">
      <c r="A51" s="15" t="s">
        <v>49</v>
      </c>
      <c r="B51" s="22">
        <v>0.8</v>
      </c>
    </row>
    <row r="52" spans="1:2" x14ac:dyDescent="0.3">
      <c r="A52" s="15" t="s">
        <v>44</v>
      </c>
      <c r="B52" s="22">
        <v>1</v>
      </c>
    </row>
    <row r="54" spans="1:2" ht="18" customHeight="1" x14ac:dyDescent="0.3">
      <c r="A54" s="31" t="s">
        <v>50</v>
      </c>
      <c r="B54" s="32" t="s">
        <v>48</v>
      </c>
    </row>
    <row r="55" spans="1:2" x14ac:dyDescent="0.3">
      <c r="A55" s="15" t="s">
        <v>49</v>
      </c>
      <c r="B55" s="22">
        <v>0.8</v>
      </c>
    </row>
    <row r="56" spans="1:2" x14ac:dyDescent="0.3">
      <c r="A56" s="15" t="s">
        <v>44</v>
      </c>
      <c r="B56" s="22">
        <v>1</v>
      </c>
    </row>
    <row r="57" spans="1:2" x14ac:dyDescent="0.3">
      <c r="A57" s="15" t="s">
        <v>46</v>
      </c>
      <c r="B57" s="22">
        <v>1.2</v>
      </c>
    </row>
    <row r="59" spans="1:2" ht="18" customHeight="1" x14ac:dyDescent="0.3">
      <c r="A59" s="31" t="s">
        <v>51</v>
      </c>
      <c r="B59" s="32" t="s">
        <v>52</v>
      </c>
    </row>
    <row r="60" spans="1:2" x14ac:dyDescent="0.3">
      <c r="A60" s="15" t="s">
        <v>53</v>
      </c>
      <c r="B60" s="22">
        <v>0.5</v>
      </c>
    </row>
    <row r="61" spans="1:2" x14ac:dyDescent="0.3">
      <c r="A61" s="15" t="s">
        <v>54</v>
      </c>
      <c r="B61" s="22">
        <v>0.5</v>
      </c>
    </row>
    <row r="63" spans="1:2" ht="18" customHeight="1" x14ac:dyDescent="0.3">
      <c r="A63" s="31" t="s">
        <v>55</v>
      </c>
      <c r="B63" s="32" t="s">
        <v>52</v>
      </c>
    </row>
    <row r="64" spans="1:2" x14ac:dyDescent="0.3">
      <c r="A64" s="15" t="s">
        <v>56</v>
      </c>
      <c r="B64" s="22">
        <v>0.4</v>
      </c>
    </row>
    <row r="65" spans="1:2" x14ac:dyDescent="0.3">
      <c r="A65" s="15" t="s">
        <v>57</v>
      </c>
      <c r="B65" s="22">
        <v>0.35</v>
      </c>
    </row>
    <row r="66" spans="1:2" x14ac:dyDescent="0.3">
      <c r="A66" s="15" t="s">
        <v>58</v>
      </c>
      <c r="B66" s="22">
        <v>0.25</v>
      </c>
    </row>
  </sheetData>
  <mergeCells count="30">
    <mergeCell ref="A5:D5"/>
    <mergeCell ref="A17:D17"/>
    <mergeCell ref="A22:D22"/>
    <mergeCell ref="A4:D4"/>
    <mergeCell ref="B8:D8"/>
    <mergeCell ref="A20:D20"/>
    <mergeCell ref="B13:D13"/>
    <mergeCell ref="A19:D19"/>
    <mergeCell ref="B6:D6"/>
    <mergeCell ref="A30:D30"/>
    <mergeCell ref="B9:D9"/>
    <mergeCell ref="A37:E37"/>
    <mergeCell ref="A24:D24"/>
    <mergeCell ref="A11:D11"/>
    <mergeCell ref="A44:B44"/>
    <mergeCell ref="A33:D33"/>
    <mergeCell ref="B12:D12"/>
    <mergeCell ref="A1:D1"/>
    <mergeCell ref="B35:D35"/>
    <mergeCell ref="B26:D26"/>
    <mergeCell ref="A25:D25"/>
    <mergeCell ref="A16:D16"/>
    <mergeCell ref="B7:D7"/>
    <mergeCell ref="A18:D18"/>
    <mergeCell ref="B31:D31"/>
    <mergeCell ref="A3:D3"/>
    <mergeCell ref="A21:D21"/>
    <mergeCell ref="B27:D27"/>
    <mergeCell ref="B34:D34"/>
    <mergeCell ref="B28:D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tabSelected="1" topLeftCell="A17" zoomScaleNormal="100" zoomScaleSheetLayoutView="100" workbookViewId="0">
      <selection activeCell="A25" sqref="A25:D25"/>
    </sheetView>
  </sheetViews>
  <sheetFormatPr defaultRowHeight="14.4" x14ac:dyDescent="0.3"/>
  <cols>
    <col min="1" max="1" width="25.109375" customWidth="1"/>
    <col min="2" max="2" width="21.44140625" customWidth="1"/>
    <col min="3" max="3" width="15.21875" customWidth="1"/>
    <col min="4" max="4" width="25.44140625" customWidth="1"/>
  </cols>
  <sheetData>
    <row r="1" spans="1:4" x14ac:dyDescent="0.3">
      <c r="A1" s="49" t="s">
        <v>63</v>
      </c>
      <c r="B1" s="47"/>
      <c r="C1" s="47"/>
      <c r="D1" s="44"/>
    </row>
    <row r="3" spans="1:4" ht="19.95" customHeight="1" x14ac:dyDescent="0.3">
      <c r="A3" s="35" t="s">
        <v>64</v>
      </c>
      <c r="B3" s="40" t="s">
        <v>177</v>
      </c>
      <c r="C3" s="35" t="s">
        <v>66</v>
      </c>
      <c r="D3" s="41"/>
    </row>
    <row r="4" spans="1:4" ht="19.95" customHeight="1" x14ac:dyDescent="0.3">
      <c r="A4" s="35" t="s">
        <v>29</v>
      </c>
      <c r="B4" s="36" t="str">
        <f>IF(VLOOKUP(B3,'NHÂN SỰ'!A:B,2,0)=0,"",VLOOKUP(B3,'NHÂN SỰ'!A:B,2,0))</f>
        <v>Frontend</v>
      </c>
      <c r="C4" s="35" t="s">
        <v>67</v>
      </c>
      <c r="D4" s="41"/>
    </row>
    <row r="6" spans="1:4" ht="18" customHeight="1" x14ac:dyDescent="0.3">
      <c r="A6" s="46" t="s">
        <v>68</v>
      </c>
      <c r="B6" s="47"/>
      <c r="C6" s="47"/>
      <c r="D6" s="44"/>
    </row>
    <row r="7" spans="1:4" x14ac:dyDescent="0.3">
      <c r="A7" s="21" t="s">
        <v>69</v>
      </c>
      <c r="B7" s="21" t="s">
        <v>70</v>
      </c>
      <c r="C7" s="21" t="s">
        <v>71</v>
      </c>
      <c r="D7" s="21" t="s">
        <v>48</v>
      </c>
    </row>
    <row r="8" spans="1:4" x14ac:dyDescent="0.3">
      <c r="A8" s="16" t="s">
        <v>72</v>
      </c>
      <c r="B8" s="17">
        <f>IF(B4="",0,INDEX('CẤU TRÚC &amp; TRỌNG SỐ'!B$39:B$42, MATCH(TRIM(B$4), 'CẤU TRÚC &amp; TRỌNG SỐ'!A$39:A$42, 0)))</f>
        <v>30</v>
      </c>
      <c r="C8" s="42" t="s">
        <v>44</v>
      </c>
      <c r="D8" s="17">
        <f>IF(C8="","", B8*VLOOKUP(TRIM(UPPER(C8)), 'CẤU TRÚC &amp; TRỌNG SỐ'!A$51:B$52, 2, FALSE)/100)</f>
        <v>0.3</v>
      </c>
    </row>
    <row r="9" spans="1:4" x14ac:dyDescent="0.3">
      <c r="A9" s="16" t="s">
        <v>73</v>
      </c>
      <c r="B9" s="17">
        <f>IF(B4="",0,INDEX('CẤU TRÚC &amp; TRỌNG SỐ'!C$39:C$42, MATCH(TRIM(B$4), 'CẤU TRÚC &amp; TRỌNG SỐ'!A$39:A$42, 0)))</f>
        <v>25</v>
      </c>
      <c r="C9" s="42" t="s">
        <v>44</v>
      </c>
      <c r="D9" s="17">
        <f>IF(C9="","", B9*VLOOKUP(TRIM(UPPER(C9)), 'CẤU TRÚC &amp; TRỌNG SỐ'!A$51:B$52, 2, FALSE)/100)</f>
        <v>0.25</v>
      </c>
    </row>
    <row r="10" spans="1:4" ht="28.8" customHeight="1" x14ac:dyDescent="0.3">
      <c r="A10" s="16" t="s">
        <v>74</v>
      </c>
      <c r="B10" s="17">
        <f>IF(B4="",0,INDEX('CẤU TRÚC &amp; TRỌNG SỐ'!D$39:D$42, MATCH(TRIM(B$4), 'CẤU TRÚC &amp; TRỌNG SỐ'!A$39:A$42, 0)))</f>
        <v>10</v>
      </c>
      <c r="C10" s="42" t="s">
        <v>44</v>
      </c>
      <c r="D10" s="17">
        <f>IF(C10="","", B10*VLOOKUP(TRIM(UPPER(C10)), 'CẤU TRÚC &amp; TRỌNG SỐ'!A$51:B$52, 2, FALSE)/100)</f>
        <v>0.1</v>
      </c>
    </row>
    <row r="11" spans="1:4" ht="28.8" customHeight="1" x14ac:dyDescent="0.3">
      <c r="A11" s="16" t="s">
        <v>75</v>
      </c>
      <c r="B11" s="17">
        <f>IF(B4="",0,INDEX('CẤU TRÚC &amp; TRỌNG SỐ'!E$39:E$42, MATCH(TRIM(B$4), 'CẤU TRÚC &amp; TRỌNG SỐ'!A$39:A$42, 0)))</f>
        <v>35</v>
      </c>
      <c r="C11" s="42" t="s">
        <v>44</v>
      </c>
      <c r="D11" s="17">
        <f>IF(C11="","", B11*VLOOKUP(TRIM(UPPER(C11)), 'CẤU TRÚC &amp; TRỌNG SỐ'!A$51:B$52, 2, FALSE)/100)</f>
        <v>0.35</v>
      </c>
    </row>
    <row r="12" spans="1:4" x14ac:dyDescent="0.3">
      <c r="A12" s="39" t="s">
        <v>179</v>
      </c>
      <c r="B12" s="18">
        <f>SUM(B8:B11)</f>
        <v>100</v>
      </c>
      <c r="C12" s="19"/>
      <c r="D12" s="19">
        <f>IF(OR(D8="", D9="", D10="", D11=""), "", SUM(D8:D11))</f>
        <v>1</v>
      </c>
    </row>
    <row r="13" spans="1:4" x14ac:dyDescent="0.3">
      <c r="A13" s="58" t="s">
        <v>77</v>
      </c>
      <c r="B13" s="59"/>
      <c r="C13" s="60"/>
      <c r="D13" s="20" t="str">
        <f>IF(D12="","", IF(SUM(D8:D11)&gt;0.8,"ĐẠT","CHƯA ĐẠT"))</f>
        <v>ĐẠT</v>
      </c>
    </row>
    <row r="14" spans="1:4" ht="18" customHeight="1" x14ac:dyDescent="0.3"/>
    <row r="15" spans="1:4" ht="18" customHeight="1" x14ac:dyDescent="0.3">
      <c r="A15" s="46" t="s">
        <v>78</v>
      </c>
      <c r="B15" s="47"/>
      <c r="C15" s="47"/>
      <c r="D15" s="44"/>
    </row>
    <row r="16" spans="1:4" ht="33" customHeight="1" x14ac:dyDescent="0.3">
      <c r="A16" s="25" t="s">
        <v>79</v>
      </c>
      <c r="B16" s="25" t="s">
        <v>80</v>
      </c>
      <c r="C16" s="45" t="s">
        <v>81</v>
      </c>
      <c r="D16" s="44"/>
    </row>
    <row r="17" spans="1:4" ht="43.2" customHeight="1" x14ac:dyDescent="0.3">
      <c r="A17" s="27" t="s">
        <v>82</v>
      </c>
      <c r="B17" s="27" t="s">
        <v>83</v>
      </c>
      <c r="C17" s="53" t="s">
        <v>44</v>
      </c>
      <c r="D17" s="54"/>
    </row>
    <row r="18" spans="1:4" ht="43.2" customHeight="1" x14ac:dyDescent="0.3">
      <c r="A18" s="27" t="s">
        <v>84</v>
      </c>
      <c r="B18" s="27" t="s">
        <v>85</v>
      </c>
      <c r="C18" s="53" t="s">
        <v>44</v>
      </c>
      <c r="D18" s="54"/>
    </row>
    <row r="19" spans="1:4" ht="43.2" customHeight="1" x14ac:dyDescent="0.3">
      <c r="A19" s="27" t="s">
        <v>86</v>
      </c>
      <c r="B19" s="27" t="s">
        <v>87</v>
      </c>
      <c r="C19" s="53" t="s">
        <v>46</v>
      </c>
      <c r="D19" s="54"/>
    </row>
    <row r="20" spans="1:4" ht="24" customHeight="1" x14ac:dyDescent="0.3">
      <c r="A20" s="55" t="s">
        <v>76</v>
      </c>
      <c r="B20" s="44"/>
      <c r="C20" s="43">
        <f>IF(COUNTA(C17:C19)=0,"",
 IFERROR(VLOOKUP(C17,'CẤU TRÚC &amp; TRỌNG SỐ'!A$55:B$57,2,0),0)*'CẤU TRÚC &amp; TRỌNG SỐ'!B64
+IFERROR(VLOOKUP(C18,'CẤU TRÚC &amp; TRỌNG SỐ'!A$55:B$57,2,0),0)*'CẤU TRÚC &amp; TRỌNG SỐ'!B65
+IFERROR(VLOOKUP(C19,'CẤU TRÚC &amp; TRỌNG SỐ'!A$55:B$57,2,0),0)*'CẤU TRÚC &amp; TRỌNG SỐ'!B66)</f>
        <v>1.05</v>
      </c>
      <c r="D20" s="44"/>
    </row>
    <row r="21" spans="1:4" ht="25.05" customHeight="1" x14ac:dyDescent="0.3">
      <c r="A21" s="33"/>
      <c r="B21" s="33"/>
      <c r="C21" s="34"/>
      <c r="D21" s="34"/>
    </row>
    <row r="22" spans="1:4" x14ac:dyDescent="0.3">
      <c r="A22" s="63" t="s">
        <v>88</v>
      </c>
      <c r="B22" s="64"/>
      <c r="C22" s="64"/>
      <c r="D22" s="64"/>
    </row>
    <row r="23" spans="1:4" ht="24" customHeight="1" x14ac:dyDescent="0.3">
      <c r="A23" s="52" t="s">
        <v>76</v>
      </c>
      <c r="B23" s="44"/>
      <c r="C23" s="43">
        <f>IF(OR(D12="",C20=""),"",D12*'CẤU TRÚC &amp; TRỌNG SỐ'!B60+C20*'CẤU TRÚC &amp; TRỌNG SỐ'!B61)</f>
        <v>1.0249999999999999</v>
      </c>
      <c r="D23" s="44"/>
    </row>
    <row r="24" spans="1:4" ht="24" customHeight="1" x14ac:dyDescent="0.3">
      <c r="A24" s="61" t="s">
        <v>89</v>
      </c>
      <c r="B24" s="44"/>
      <c r="C24" s="62" t="str">
        <f>IF(C23="","KHÔNG CÓ",
   IF(ROUND(C23,2)&lt;1,"CHƯA ĐẠT",
         IF(ROUND(C23,2)=1,"ĐẠT","TỐT")
   )
)</f>
        <v>TỐT</v>
      </c>
      <c r="D24" s="44"/>
    </row>
    <row r="25" spans="1:4" ht="18" customHeight="1" x14ac:dyDescent="0.3">
      <c r="A25" s="50"/>
      <c r="B25" s="51"/>
      <c r="C25" s="51"/>
      <c r="D25" s="51"/>
    </row>
    <row r="26" spans="1:4" x14ac:dyDescent="0.3">
      <c r="A26" s="56" t="s">
        <v>90</v>
      </c>
      <c r="B26" s="47"/>
      <c r="C26" s="47"/>
      <c r="D26" s="44"/>
    </row>
    <row r="27" spans="1:4" x14ac:dyDescent="0.3">
      <c r="A27" s="24" t="s">
        <v>91</v>
      </c>
      <c r="B27" s="57" t="s">
        <v>80</v>
      </c>
      <c r="C27" s="47"/>
      <c r="D27" s="44"/>
    </row>
    <row r="28" spans="1:4" ht="34.200000000000003" customHeight="1" x14ac:dyDescent="0.3">
      <c r="A28" s="11" t="s">
        <v>92</v>
      </c>
      <c r="B28" s="48" t="s">
        <v>93</v>
      </c>
      <c r="C28" s="47"/>
      <c r="D28" s="44"/>
    </row>
    <row r="29" spans="1:4" ht="34.200000000000003" customHeight="1" x14ac:dyDescent="0.3">
      <c r="A29" s="11" t="s">
        <v>94</v>
      </c>
      <c r="B29" s="48" t="s">
        <v>95</v>
      </c>
      <c r="C29" s="47"/>
      <c r="D29" s="44"/>
    </row>
    <row r="30" spans="1:4" ht="34.200000000000003" customHeight="1" x14ac:dyDescent="0.3">
      <c r="A30" s="11" t="s">
        <v>96</v>
      </c>
      <c r="B30" s="48" t="s">
        <v>97</v>
      </c>
      <c r="C30" s="47"/>
      <c r="D30" s="44"/>
    </row>
  </sheetData>
  <mergeCells count="21">
    <mergeCell ref="A24:B24"/>
    <mergeCell ref="C24:D24"/>
    <mergeCell ref="A22:D22"/>
    <mergeCell ref="B29:D29"/>
    <mergeCell ref="B28:D28"/>
    <mergeCell ref="C20:D20"/>
    <mergeCell ref="C16:D16"/>
    <mergeCell ref="A15:D15"/>
    <mergeCell ref="B30:D30"/>
    <mergeCell ref="A1:D1"/>
    <mergeCell ref="A6:D6"/>
    <mergeCell ref="A25:D25"/>
    <mergeCell ref="A23:B23"/>
    <mergeCell ref="C17:D17"/>
    <mergeCell ref="C23:D23"/>
    <mergeCell ref="A20:B20"/>
    <mergeCell ref="A26:D26"/>
    <mergeCell ref="C19:D19"/>
    <mergeCell ref="B27:D27"/>
    <mergeCell ref="C18:D18"/>
    <mergeCell ref="A13:C13"/>
  </mergeCells>
  <conditionalFormatting sqref="C8:C11">
    <cfRule type="cellIs" dxfId="13" priority="4" operator="equal">
      <formula>1</formula>
    </cfRule>
    <cfRule type="cellIs" dxfId="12" priority="5" operator="equal">
      <formula>2</formula>
    </cfRule>
    <cfRule type="cellIs" dxfId="11" priority="6" operator="equal">
      <formula>3</formula>
    </cfRule>
    <cfRule type="cellIs" dxfId="10" priority="7" operator="equal">
      <formula>4</formula>
    </cfRule>
    <cfRule type="cellIs" dxfId="9" priority="8" operator="equal">
      <formula>5</formula>
    </cfRule>
  </conditionalFormatting>
  <conditionalFormatting sqref="C24">
    <cfRule type="containsText" dxfId="8" priority="1" operator="containsText" text="TỐT">
      <formula>NOT(ISERROR(SEARCH("TỐT",C24)))</formula>
    </cfRule>
    <cfRule type="beginsWith" dxfId="7" priority="2" operator="beginsWith" text="ĐẠT">
      <formula>LEFT(C24,LEN("ĐẠT"))="ĐẠT"</formula>
    </cfRule>
    <cfRule type="containsText" dxfId="6" priority="3" operator="containsText" text="CHƯA">
      <formula>NOT(ISERROR(SEARCH("CHƯA",C24)))</formula>
    </cfRule>
  </conditionalFormatting>
  <conditionalFormatting sqref="D13">
    <cfRule type="containsText" dxfId="5" priority="10" operator="containsText" text="CHƯA Đạt">
      <formula>NOT(ISERROR(SEARCH("CHƯA Đạt",D13)))</formula>
    </cfRule>
    <cfRule type="containsText" dxfId="4" priority="12" operator="containsText" text="ĐẠT">
      <formula>NOT(ISERROR(SEARCH("ĐẠT",D13)))</formula>
    </cfRule>
  </conditionalFormatting>
  <dataValidations count="3">
    <dataValidation type="list" allowBlank="1" sqref="C17:C19" xr:uid="{00000000-0002-0000-0200-000000000000}">
      <formula1>"Chưa Đạt,Đạt,Tốt"</formula1>
    </dataValidation>
    <dataValidation allowBlank="1" sqref="C16" xr:uid="{00000000-0002-0000-0200-000001000000}"/>
    <dataValidation type="list" allowBlank="1" sqref="C8:C11" xr:uid="{00000000-0002-0000-0200-000002000000}">
      <formula1>"Chưa Đạt,Đạt"</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4000000}">
          <x14:formula1>
            <xm:f>'NHÂN SỰ'!$A$2:$A$7</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E30"/>
  <sheetViews>
    <sheetView zoomScale="110" zoomScaleNormal="110" workbookViewId="0">
      <pane ySplit="3" topLeftCell="A4" activePane="bottomLeft" state="frozen"/>
      <selection pane="bottomLeft" activeCell="B33" sqref="B33"/>
    </sheetView>
  </sheetViews>
  <sheetFormatPr defaultRowHeight="14.4" outlineLevelRow="1" x14ac:dyDescent="0.3"/>
  <cols>
    <col min="1" max="1" width="22" customWidth="1"/>
    <col min="2" max="4" width="50" customWidth="1"/>
    <col min="5" max="5" width="38.77734375" customWidth="1"/>
  </cols>
  <sheetData>
    <row r="1" spans="1:4" ht="30" customHeight="1" x14ac:dyDescent="0.3">
      <c r="A1" s="92" t="s">
        <v>98</v>
      </c>
      <c r="B1" s="64"/>
      <c r="C1" s="64"/>
      <c r="D1" s="64"/>
    </row>
    <row r="2" spans="1:4" ht="36.6" customHeight="1" x14ac:dyDescent="0.3">
      <c r="A2" s="96" t="s">
        <v>99</v>
      </c>
      <c r="B2" s="64"/>
      <c r="C2" s="64"/>
      <c r="D2" s="64"/>
    </row>
    <row r="4" spans="1:4" ht="22.05" customHeight="1" collapsed="1" x14ac:dyDescent="0.3">
      <c r="A4" s="93" t="s">
        <v>35</v>
      </c>
      <c r="B4" s="64"/>
      <c r="C4" s="64"/>
      <c r="D4" s="64"/>
    </row>
    <row r="5" spans="1:4" ht="19.95" hidden="1" customHeight="1" outlineLevel="1" x14ac:dyDescent="0.3">
      <c r="A5" s="4" t="s">
        <v>69</v>
      </c>
      <c r="B5" s="4" t="s">
        <v>100</v>
      </c>
      <c r="C5" s="4" t="s">
        <v>101</v>
      </c>
      <c r="D5" s="4" t="s">
        <v>102</v>
      </c>
    </row>
    <row r="6" spans="1:4" ht="79.95" hidden="1" customHeight="1" outlineLevel="1" x14ac:dyDescent="0.3">
      <c r="A6" s="5" t="s">
        <v>72</v>
      </c>
      <c r="B6" s="6" t="s">
        <v>103</v>
      </c>
      <c r="C6" s="6" t="s">
        <v>104</v>
      </c>
      <c r="D6" s="7" t="s">
        <v>105</v>
      </c>
    </row>
    <row r="7" spans="1:4" ht="79.95" hidden="1" customHeight="1" outlineLevel="1" x14ac:dyDescent="0.3">
      <c r="A7" s="5" t="s">
        <v>73</v>
      </c>
      <c r="B7" s="7" t="s">
        <v>106</v>
      </c>
      <c r="C7" s="7" t="s">
        <v>107</v>
      </c>
      <c r="D7" s="7" t="s">
        <v>108</v>
      </c>
    </row>
    <row r="8" spans="1:4" ht="79.95" hidden="1" customHeight="1" outlineLevel="1" x14ac:dyDescent="0.3">
      <c r="A8" s="5" t="s">
        <v>109</v>
      </c>
      <c r="B8" s="7" t="s">
        <v>110</v>
      </c>
      <c r="C8" s="7" t="s">
        <v>111</v>
      </c>
      <c r="D8" s="7" t="s">
        <v>112</v>
      </c>
    </row>
    <row r="9" spans="1:4" ht="79.95" hidden="1" customHeight="1" outlineLevel="1" collapsed="1" x14ac:dyDescent="0.3">
      <c r="A9" s="5" t="s">
        <v>113</v>
      </c>
      <c r="B9" s="7" t="s">
        <v>114</v>
      </c>
      <c r="C9" s="7" t="s">
        <v>115</v>
      </c>
      <c r="D9" s="7" t="s">
        <v>116</v>
      </c>
    </row>
    <row r="11" spans="1:4" ht="22.05" customHeight="1" collapsed="1" x14ac:dyDescent="0.3">
      <c r="A11" s="93" t="s">
        <v>34</v>
      </c>
      <c r="B11" s="64"/>
      <c r="C11" s="64"/>
      <c r="D11" s="64"/>
    </row>
    <row r="12" spans="1:4" ht="19.95" hidden="1" customHeight="1" outlineLevel="1" x14ac:dyDescent="0.3">
      <c r="A12" s="4" t="s">
        <v>69</v>
      </c>
      <c r="B12" s="4" t="s">
        <v>100</v>
      </c>
      <c r="C12" s="4" t="s">
        <v>101</v>
      </c>
      <c r="D12" s="4" t="s">
        <v>102</v>
      </c>
    </row>
    <row r="13" spans="1:4" ht="79.95" hidden="1" customHeight="1" outlineLevel="1" x14ac:dyDescent="0.3">
      <c r="A13" s="5" t="s">
        <v>72</v>
      </c>
      <c r="B13" s="7" t="s">
        <v>117</v>
      </c>
      <c r="C13" s="7" t="s">
        <v>118</v>
      </c>
      <c r="D13" s="7" t="s">
        <v>119</v>
      </c>
    </row>
    <row r="14" spans="1:4" ht="79.95" hidden="1" customHeight="1" outlineLevel="1" x14ac:dyDescent="0.3">
      <c r="A14" s="5" t="s">
        <v>73</v>
      </c>
      <c r="B14" s="7" t="s">
        <v>120</v>
      </c>
      <c r="C14" s="7" t="s">
        <v>121</v>
      </c>
      <c r="D14" s="7" t="s">
        <v>122</v>
      </c>
    </row>
    <row r="15" spans="1:4" ht="79.95" hidden="1" customHeight="1" outlineLevel="1" x14ac:dyDescent="0.3">
      <c r="A15" s="5" t="s">
        <v>109</v>
      </c>
      <c r="B15" s="7" t="s">
        <v>123</v>
      </c>
      <c r="C15" s="7" t="s">
        <v>124</v>
      </c>
      <c r="D15" s="7" t="s">
        <v>125</v>
      </c>
    </row>
    <row r="16" spans="1:4" ht="79.95" hidden="1" customHeight="1" outlineLevel="1" collapsed="1" x14ac:dyDescent="0.3">
      <c r="A16" s="5" t="s">
        <v>113</v>
      </c>
      <c r="B16" s="7" t="s">
        <v>126</v>
      </c>
      <c r="C16" s="7" t="s">
        <v>127</v>
      </c>
      <c r="D16" s="7" t="s">
        <v>128</v>
      </c>
    </row>
    <row r="18" spans="1:5" ht="22.05" customHeight="1" collapsed="1" x14ac:dyDescent="0.3">
      <c r="A18" s="93" t="s">
        <v>129</v>
      </c>
      <c r="B18" s="64"/>
      <c r="C18" s="64"/>
      <c r="D18" s="64"/>
    </row>
    <row r="19" spans="1:5" ht="19.95" hidden="1" customHeight="1" outlineLevel="1" x14ac:dyDescent="0.3">
      <c r="A19" s="4" t="s">
        <v>69</v>
      </c>
      <c r="B19" s="4" t="s">
        <v>100</v>
      </c>
      <c r="C19" s="4" t="s">
        <v>101</v>
      </c>
      <c r="D19" s="4" t="s">
        <v>102</v>
      </c>
    </row>
    <row r="20" spans="1:5" ht="79.95" hidden="1" customHeight="1" outlineLevel="1" x14ac:dyDescent="0.3">
      <c r="A20" s="5" t="s">
        <v>72</v>
      </c>
      <c r="B20" s="7" t="s">
        <v>130</v>
      </c>
      <c r="C20" s="7" t="s">
        <v>131</v>
      </c>
      <c r="D20" s="7" t="s">
        <v>132</v>
      </c>
    </row>
    <row r="21" spans="1:5" ht="79.95" hidden="1" customHeight="1" outlineLevel="1" x14ac:dyDescent="0.3">
      <c r="A21" s="5" t="s">
        <v>73</v>
      </c>
      <c r="B21" s="7" t="s">
        <v>133</v>
      </c>
      <c r="C21" s="7" t="s">
        <v>134</v>
      </c>
      <c r="D21" s="7" t="s">
        <v>135</v>
      </c>
    </row>
    <row r="22" spans="1:5" ht="79.95" hidden="1" customHeight="1" outlineLevel="1" x14ac:dyDescent="0.3">
      <c r="A22" s="5" t="s">
        <v>109</v>
      </c>
      <c r="B22" s="7" t="s">
        <v>136</v>
      </c>
      <c r="C22" s="7" t="s">
        <v>137</v>
      </c>
      <c r="D22" s="7" t="s">
        <v>138</v>
      </c>
    </row>
    <row r="23" spans="1:5" ht="79.95" hidden="1" customHeight="1" outlineLevel="1" collapsed="1" x14ac:dyDescent="0.3">
      <c r="A23" s="5" t="s">
        <v>113</v>
      </c>
      <c r="B23" s="7" t="s">
        <v>139</v>
      </c>
      <c r="C23" s="7" t="s">
        <v>140</v>
      </c>
      <c r="D23" s="7" t="s">
        <v>141</v>
      </c>
    </row>
    <row r="25" spans="1:5" ht="22.05" customHeight="1" collapsed="1" x14ac:dyDescent="0.3">
      <c r="A25" s="94" t="s">
        <v>142</v>
      </c>
      <c r="B25" s="95"/>
      <c r="C25" s="95"/>
      <c r="D25" s="95"/>
      <c r="E25" s="95"/>
    </row>
    <row r="26" spans="1:5" ht="19.95" hidden="1" customHeight="1" outlineLevel="1" x14ac:dyDescent="0.3">
      <c r="A26" s="4" t="s">
        <v>69</v>
      </c>
      <c r="B26" s="4" t="s">
        <v>100</v>
      </c>
      <c r="C26" s="4" t="s">
        <v>101</v>
      </c>
      <c r="D26" s="4" t="s">
        <v>102</v>
      </c>
      <c r="E26" s="4" t="s">
        <v>143</v>
      </c>
    </row>
    <row r="27" spans="1:5" ht="79.95" hidden="1" customHeight="1" outlineLevel="1" x14ac:dyDescent="0.3">
      <c r="A27" s="5" t="s">
        <v>72</v>
      </c>
      <c r="B27" s="7" t="s">
        <v>144</v>
      </c>
      <c r="C27" s="7" t="s">
        <v>145</v>
      </c>
      <c r="D27" s="7" t="s">
        <v>146</v>
      </c>
      <c r="E27" s="23" t="s">
        <v>147</v>
      </c>
    </row>
    <row r="28" spans="1:5" ht="79.95" hidden="1" customHeight="1" outlineLevel="1" x14ac:dyDescent="0.3">
      <c r="A28" s="5" t="s">
        <v>73</v>
      </c>
      <c r="B28" s="7" t="s">
        <v>148</v>
      </c>
      <c r="C28" s="7" t="s">
        <v>149</v>
      </c>
      <c r="D28" s="7" t="s">
        <v>150</v>
      </c>
      <c r="E28" s="23" t="s">
        <v>151</v>
      </c>
    </row>
    <row r="29" spans="1:5" ht="79.95" hidden="1" customHeight="1" outlineLevel="1" x14ac:dyDescent="0.3">
      <c r="A29" s="5" t="s">
        <v>109</v>
      </c>
      <c r="B29" s="7" t="s">
        <v>152</v>
      </c>
      <c r="C29" s="7" t="s">
        <v>153</v>
      </c>
      <c r="D29" s="7" t="s">
        <v>154</v>
      </c>
      <c r="E29" s="23" t="s">
        <v>155</v>
      </c>
    </row>
    <row r="30" spans="1:5" ht="79.95" hidden="1" customHeight="1" outlineLevel="1" collapsed="1" x14ac:dyDescent="0.3">
      <c r="A30" s="5" t="s">
        <v>113</v>
      </c>
      <c r="B30" s="7" t="s">
        <v>156</v>
      </c>
      <c r="C30" s="7" t="s">
        <v>157</v>
      </c>
      <c r="D30" s="7" t="s">
        <v>158</v>
      </c>
      <c r="E30" s="23" t="s">
        <v>159</v>
      </c>
    </row>
  </sheetData>
  <mergeCells count="6">
    <mergeCell ref="A1:D1"/>
    <mergeCell ref="A18:D18"/>
    <mergeCell ref="A4:D4"/>
    <mergeCell ref="A25:E25"/>
    <mergeCell ref="A2:D2"/>
    <mergeCell ref="A11:D11"/>
  </mergeCells>
  <pageMargins left="0.75" right="0.75" top="1" bottom="1" header="0.5" footer="0.5"/>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0C41-9673-45B2-9EAD-BA190E719E0D}">
  <dimension ref="A1:B7"/>
  <sheetViews>
    <sheetView workbookViewId="0">
      <selection activeCell="A14" sqref="A14"/>
    </sheetView>
  </sheetViews>
  <sheetFormatPr defaultRowHeight="14.4" x14ac:dyDescent="0.3"/>
  <cols>
    <col min="1" max="1" width="26.77734375" customWidth="1"/>
    <col min="2" max="2" width="20.5546875" customWidth="1"/>
  </cols>
  <sheetData>
    <row r="1" spans="1:2" ht="18" x14ac:dyDescent="0.3">
      <c r="A1" s="31" t="s">
        <v>174</v>
      </c>
      <c r="B1" s="31" t="s">
        <v>180</v>
      </c>
    </row>
    <row r="2" spans="1:2" x14ac:dyDescent="0.3">
      <c r="A2" s="15" t="s">
        <v>65</v>
      </c>
      <c r="B2" s="41" t="s">
        <v>37</v>
      </c>
    </row>
    <row r="3" spans="1:2" x14ac:dyDescent="0.3">
      <c r="A3" s="15" t="s">
        <v>175</v>
      </c>
      <c r="B3" s="41" t="s">
        <v>34</v>
      </c>
    </row>
    <row r="4" spans="1:2" x14ac:dyDescent="0.3">
      <c r="A4" s="15" t="s">
        <v>176</v>
      </c>
      <c r="B4" s="41" t="s">
        <v>36</v>
      </c>
    </row>
    <row r="5" spans="1:2" x14ac:dyDescent="0.3">
      <c r="A5" s="15" t="s">
        <v>177</v>
      </c>
      <c r="B5" s="41" t="s">
        <v>36</v>
      </c>
    </row>
    <row r="6" spans="1:2" x14ac:dyDescent="0.3">
      <c r="A6" s="15" t="s">
        <v>178</v>
      </c>
      <c r="B6" s="41" t="s">
        <v>36</v>
      </c>
    </row>
    <row r="7" spans="1:2" x14ac:dyDescent="0.3">
      <c r="A7" s="15" t="s">
        <v>181</v>
      </c>
      <c r="B7" s="41" t="s">
        <v>35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C5A9D5-3731-4B61-BA5A-0361007D6BD7}">
          <x14:formula1>
            <xm:f>'CẤU TRÚC &amp; TRỌNG SỐ'!$A$39:$A$42</xm:f>
          </x14:formula1>
          <xm:sqref>B2:B7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98" t="s">
        <v>160</v>
      </c>
      <c r="B1" s="64"/>
      <c r="C1" s="64"/>
      <c r="D1" s="64"/>
      <c r="E1" s="64"/>
      <c r="F1" s="64"/>
      <c r="G1" s="64"/>
      <c r="H1" s="64"/>
    </row>
    <row r="3" spans="1:14" x14ac:dyDescent="0.3">
      <c r="A3" s="97" t="s">
        <v>161</v>
      </c>
      <c r="B3" s="64"/>
      <c r="C3" s="64"/>
      <c r="D3" s="64"/>
      <c r="E3" s="64"/>
      <c r="F3" s="64"/>
      <c r="G3" s="64"/>
      <c r="H3" s="64"/>
    </row>
    <row r="5" spans="1:14" ht="28.8" customHeight="1" x14ac:dyDescent="0.3">
      <c r="A5" s="1" t="s">
        <v>162</v>
      </c>
      <c r="B5" s="1" t="s">
        <v>64</v>
      </c>
      <c r="C5" s="1" t="s">
        <v>29</v>
      </c>
      <c r="D5" s="1" t="s">
        <v>66</v>
      </c>
      <c r="E5" s="1" t="s">
        <v>163</v>
      </c>
      <c r="F5" s="1" t="s">
        <v>40</v>
      </c>
      <c r="G5" s="1" t="s">
        <v>164</v>
      </c>
      <c r="H5" s="1" t="s">
        <v>165</v>
      </c>
      <c r="I5" s="8" t="s">
        <v>166</v>
      </c>
      <c r="J5" s="8" t="s">
        <v>167</v>
      </c>
      <c r="K5" s="8" t="s">
        <v>39</v>
      </c>
      <c r="L5" s="10" t="s">
        <v>166</v>
      </c>
      <c r="M5" s="10" t="s">
        <v>167</v>
      </c>
      <c r="N5" s="10" t="s">
        <v>39</v>
      </c>
    </row>
    <row r="6" spans="1:14" x14ac:dyDescent="0.3">
      <c r="A6" s="2">
        <v>1</v>
      </c>
      <c r="B6" s="3" t="s">
        <v>168</v>
      </c>
      <c r="C6" s="3" t="s">
        <v>169</v>
      </c>
      <c r="D6" s="2"/>
      <c r="E6" s="2"/>
      <c r="F6" s="2" t="str">
        <f t="shared" ref="F6:F35" si="0">IF(E6="","",IF(E6&lt;2.5,"Chưa đạt",IF(E6&lt;=3.2,"Đạt",IF(E6&lt;=4,"Tốt","Rất tốt"))))</f>
        <v/>
      </c>
      <c r="G6" s="2" t="str">
        <f>IF(E6="","",_xludf.RANK.EQ(E6,$E$6:$E$35,0))</f>
        <v/>
      </c>
      <c r="H6" s="3"/>
      <c r="J6" s="9" t="e">
        <f>'ĐÁNH GIÁ HIỆU SUẤT P2'!#REF!</f>
        <v>#REF!</v>
      </c>
      <c r="K6" s="9" t="e">
        <f>'ĐÁNH GIÁ HIỆU SUẤT P2'!#REF!</f>
        <v>#REF!</v>
      </c>
      <c r="M6" s="9" t="e">
        <f>'ĐÁNH GIÁ HIỆU SUẤT P2'!#REF!</f>
        <v>#REF!</v>
      </c>
      <c r="N6" s="9">
        <f>'ĐÁNH GIÁ HIỆU SUẤT P2'!B20</f>
        <v>0</v>
      </c>
    </row>
    <row r="7" spans="1:14" x14ac:dyDescent="0.3">
      <c r="A7" s="2">
        <v>2</v>
      </c>
      <c r="B7" s="3" t="s">
        <v>170</v>
      </c>
      <c r="C7" s="3" t="s">
        <v>171</v>
      </c>
      <c r="D7" s="2"/>
      <c r="E7" s="2"/>
      <c r="F7" s="2" t="str">
        <f t="shared" si="0"/>
        <v/>
      </c>
      <c r="G7" s="2" t="str">
        <f>IF(E7="","",_xludf.RANK.EQ(E7,$E$6:$E$35,0))</f>
        <v/>
      </c>
      <c r="H7" s="3"/>
      <c r="J7" s="9" t="e">
        <f>'ĐÁNH GIÁ HIỆU SUẤT P2'!#REF!</f>
        <v>#REF!</v>
      </c>
      <c r="K7" s="9" t="e">
        <f>'ĐÁNH GIÁ HIỆU SUẤT P2'!#REF!</f>
        <v>#REF!</v>
      </c>
      <c r="M7" s="9" t="e">
        <f>'ĐÁNH GIÁ HIỆU SUẤT P2'!#REF!</f>
        <v>#REF!</v>
      </c>
      <c r="N7" s="9">
        <f>'ĐÁNH GIÁ HIỆU SUẤT P2'!B20</f>
        <v>0</v>
      </c>
    </row>
    <row r="8" spans="1:14" x14ac:dyDescent="0.3">
      <c r="A8" s="2">
        <v>3</v>
      </c>
      <c r="B8" s="3" t="s">
        <v>172</v>
      </c>
      <c r="C8" s="3" t="s">
        <v>171</v>
      </c>
      <c r="D8" s="2"/>
      <c r="E8" s="2"/>
      <c r="F8" s="2" t="str">
        <f t="shared" si="0"/>
        <v/>
      </c>
      <c r="G8" s="2" t="str">
        <f>IF(E8="","",_xludf.RANK.EQ(E8,$E$6:$E$35,0))</f>
        <v/>
      </c>
      <c r="H8" s="3"/>
      <c r="J8" s="9" t="e">
        <f>'ĐÁNH GIÁ HIỆU SUẤT P2'!#REF!</f>
        <v>#REF!</v>
      </c>
      <c r="K8" s="9" t="e">
        <f>'ĐÁNH GIÁ HIỆU SUẤT P2'!#REF!</f>
        <v>#REF!</v>
      </c>
      <c r="M8" s="9" t="e">
        <f>'ĐÁNH GIÁ HIỆU SUẤT P2'!#REF!</f>
        <v>#REF!</v>
      </c>
      <c r="N8" s="9">
        <f>'ĐÁNH GIÁ HIỆU SUẤT P2'!B20</f>
        <v>0</v>
      </c>
    </row>
    <row r="9" spans="1:14" x14ac:dyDescent="0.3">
      <c r="A9" s="2">
        <v>4</v>
      </c>
      <c r="B9" s="3" t="s">
        <v>173</v>
      </c>
      <c r="C9" s="3" t="s">
        <v>171</v>
      </c>
      <c r="D9" s="2"/>
      <c r="E9" s="2"/>
      <c r="F9" s="2" t="str">
        <f t="shared" si="0"/>
        <v/>
      </c>
      <c r="G9" s="2" t="str">
        <f>IF(E9="","",_xludf.RANK.EQ(E9,$E$6:$E$35,0))</f>
        <v/>
      </c>
      <c r="H9" s="3"/>
      <c r="J9" s="9" t="e">
        <f>'ĐÁNH GIÁ HIỆU SUẤT P2'!#REF!</f>
        <v>#REF!</v>
      </c>
      <c r="K9" s="9" t="e">
        <f>'ĐÁNH GIÁ HIỆU SUẤT P2'!#REF!</f>
        <v>#REF!</v>
      </c>
      <c r="M9" s="9" t="e">
        <f>'ĐÁNH GIÁ HIỆU SUẤT P2'!#REF!</f>
        <v>#REF!</v>
      </c>
      <c r="N9" s="9">
        <f>'ĐÁNH GIÁ HIỆU SUẤT P2'!B20</f>
        <v>0</v>
      </c>
    </row>
    <row r="10" spans="1:14" x14ac:dyDescent="0.3">
      <c r="A10" s="2">
        <v>5</v>
      </c>
      <c r="B10" s="3"/>
      <c r="C10" s="3"/>
      <c r="D10" s="2"/>
      <c r="E10" s="2"/>
      <c r="F10" s="2" t="str">
        <f t="shared" si="0"/>
        <v/>
      </c>
      <c r="G10" s="2" t="str">
        <f>IF(E10="","",_xludf.RANK.EQ(E10,$E$6:$E$35,0))</f>
        <v/>
      </c>
      <c r="H10" s="3"/>
      <c r="J10" s="9" t="e">
        <f>'ĐÁNH GIÁ HIỆU SUẤT P2'!#REF!</f>
        <v>#REF!</v>
      </c>
      <c r="K10" s="9" t="e">
        <f>'ĐÁNH GIÁ HIỆU SUẤT P2'!#REF!</f>
        <v>#REF!</v>
      </c>
      <c r="M10" s="9" t="e">
        <f>'ĐÁNH GIÁ HIỆU SUẤT P2'!#REF!</f>
        <v>#REF!</v>
      </c>
      <c r="N10" s="9">
        <f>'ĐÁNH GIÁ HIỆU SUẤT P2'!B20</f>
        <v>0</v>
      </c>
    </row>
    <row r="11" spans="1:14" x14ac:dyDescent="0.3">
      <c r="A11" s="2">
        <v>6</v>
      </c>
      <c r="B11" s="3"/>
      <c r="C11" s="3"/>
      <c r="D11" s="2"/>
      <c r="E11" s="2"/>
      <c r="F11" s="2" t="str">
        <f t="shared" si="0"/>
        <v/>
      </c>
      <c r="G11" s="2" t="str">
        <f>IF(E11="","",_xludf.RANK.EQ(E11,$E$6:$E$35,0))</f>
        <v/>
      </c>
      <c r="H11" s="3"/>
      <c r="J11" s="9" t="e">
        <f>'ĐÁNH GIÁ HIỆU SUẤT P2'!#REF!</f>
        <v>#REF!</v>
      </c>
      <c r="K11" s="9" t="e">
        <f>'ĐÁNH GIÁ HIỆU SUẤT P2'!#REF!</f>
        <v>#REF!</v>
      </c>
      <c r="M11" s="9" t="e">
        <f>'ĐÁNH GIÁ HIỆU SUẤT P2'!#REF!</f>
        <v>#REF!</v>
      </c>
      <c r="N11" s="9">
        <f>'ĐÁNH GIÁ HIỆU SUẤT P2'!B20</f>
        <v>0</v>
      </c>
    </row>
    <row r="12" spans="1:14" x14ac:dyDescent="0.3">
      <c r="A12" s="2">
        <v>7</v>
      </c>
      <c r="B12" s="3"/>
      <c r="C12" s="3"/>
      <c r="D12" s="2"/>
      <c r="E12" s="2"/>
      <c r="F12" s="2" t="str">
        <f t="shared" si="0"/>
        <v/>
      </c>
      <c r="G12" s="2" t="str">
        <f>IF(E12="","",_xludf.RANK.EQ(E12,$E$6:$E$35,0))</f>
        <v/>
      </c>
      <c r="H12" s="3"/>
      <c r="J12" s="9" t="e">
        <f>'ĐÁNH GIÁ HIỆU SUẤT P2'!#REF!</f>
        <v>#REF!</v>
      </c>
      <c r="K12" s="9" t="e">
        <f>'ĐÁNH GIÁ HIỆU SUẤT P2'!#REF!</f>
        <v>#REF!</v>
      </c>
      <c r="M12" s="9" t="e">
        <f>'ĐÁNH GIÁ HIỆU SUẤT P2'!#REF!</f>
        <v>#REF!</v>
      </c>
      <c r="N12" s="9">
        <f>'ĐÁNH GIÁ HIỆU SUẤT P2'!B20</f>
        <v>0</v>
      </c>
    </row>
    <row r="13" spans="1:14" x14ac:dyDescent="0.3">
      <c r="A13" s="2">
        <v>8</v>
      </c>
      <c r="B13" s="3"/>
      <c r="C13" s="3"/>
      <c r="D13" s="2"/>
      <c r="E13" s="2"/>
      <c r="F13" s="2" t="str">
        <f t="shared" si="0"/>
        <v/>
      </c>
      <c r="G13" s="2" t="str">
        <f>IF(E13="","",_xludf.RANK.EQ(E13,$E$6:$E$35,0))</f>
        <v/>
      </c>
      <c r="H13" s="3"/>
      <c r="J13" s="9" t="e">
        <f>'ĐÁNH GIÁ HIỆU SUẤT P2'!#REF!</f>
        <v>#REF!</v>
      </c>
      <c r="K13" s="9" t="e">
        <f>'ĐÁNH GIÁ HIỆU SUẤT P2'!#REF!</f>
        <v>#REF!</v>
      </c>
      <c r="M13" s="9" t="e">
        <f>'ĐÁNH GIÁ HIỆU SUẤT P2'!#REF!</f>
        <v>#REF!</v>
      </c>
      <c r="N13" s="9">
        <f>'ĐÁNH GIÁ HIỆU SUẤT P2'!B20</f>
        <v>0</v>
      </c>
    </row>
    <row r="14" spans="1:14" x14ac:dyDescent="0.3">
      <c r="A14" s="2">
        <v>9</v>
      </c>
      <c r="B14" s="3"/>
      <c r="C14" s="3"/>
      <c r="D14" s="2"/>
      <c r="E14" s="2"/>
      <c r="F14" s="2" t="str">
        <f t="shared" si="0"/>
        <v/>
      </c>
      <c r="G14" s="2" t="str">
        <f>IF(E14="","",_xludf.RANK.EQ(E14,$E$6:$E$35,0))</f>
        <v/>
      </c>
      <c r="H14" s="3"/>
      <c r="J14" s="9" t="e">
        <f>'ĐÁNH GIÁ HIỆU SUẤT P2'!#REF!</f>
        <v>#REF!</v>
      </c>
      <c r="K14" s="9" t="e">
        <f>'ĐÁNH GIÁ HIỆU SUẤT P2'!#REF!</f>
        <v>#REF!</v>
      </c>
      <c r="M14" s="9" t="e">
        <f>'ĐÁNH GIÁ HIỆU SUẤT P2'!#REF!</f>
        <v>#REF!</v>
      </c>
      <c r="N14" s="9">
        <f>'ĐÁNH GIÁ HIỆU SUẤT P2'!B20</f>
        <v>0</v>
      </c>
    </row>
    <row r="15" spans="1:14" x14ac:dyDescent="0.3">
      <c r="A15" s="2">
        <v>10</v>
      </c>
      <c r="B15" s="3"/>
      <c r="C15" s="3"/>
      <c r="D15" s="2"/>
      <c r="E15" s="2"/>
      <c r="F15" s="2" t="str">
        <f t="shared" si="0"/>
        <v/>
      </c>
      <c r="G15" s="2" t="str">
        <f>IF(E15="","",_xludf.RANK.EQ(E15,$E$6:$E$35,0))</f>
        <v/>
      </c>
      <c r="H15" s="3"/>
      <c r="J15" s="9" t="e">
        <f>'ĐÁNH GIÁ HIỆU SUẤT P2'!#REF!</f>
        <v>#REF!</v>
      </c>
      <c r="K15" s="9" t="e">
        <f>'ĐÁNH GIÁ HIỆU SUẤT P2'!#REF!</f>
        <v>#REF!</v>
      </c>
      <c r="M15" s="9" t="e">
        <f>'ĐÁNH GIÁ HIỆU SUẤT P2'!#REF!</f>
        <v>#REF!</v>
      </c>
      <c r="N15" s="9">
        <f>'ĐÁNH GIÁ HIỆU SUẤT P2'!B20</f>
        <v>0</v>
      </c>
    </row>
    <row r="16" spans="1:14" x14ac:dyDescent="0.3">
      <c r="A16" s="2">
        <v>11</v>
      </c>
      <c r="B16" s="3"/>
      <c r="C16" s="3"/>
      <c r="D16" s="2"/>
      <c r="E16" s="2"/>
      <c r="F16" s="2" t="str">
        <f t="shared" si="0"/>
        <v/>
      </c>
      <c r="G16" s="2" t="str">
        <f>IF(E16="","",_xludf.RANK.EQ(E16,$E$6:$E$35,0))</f>
        <v/>
      </c>
      <c r="H16" s="3"/>
      <c r="J16" s="9" t="e">
        <f>'ĐÁNH GIÁ HIỆU SUẤT P2'!#REF!</f>
        <v>#REF!</v>
      </c>
      <c r="K16" s="9" t="e">
        <f>'ĐÁNH GIÁ HIỆU SUẤT P2'!#REF!</f>
        <v>#REF!</v>
      </c>
      <c r="M16" s="9" t="e">
        <f>'ĐÁNH GIÁ HIỆU SUẤT P2'!#REF!</f>
        <v>#REF!</v>
      </c>
      <c r="N16" s="9">
        <f>'ĐÁNH GIÁ HIỆU SUẤT P2'!B20</f>
        <v>0</v>
      </c>
    </row>
    <row r="17" spans="1:14" x14ac:dyDescent="0.3">
      <c r="A17" s="2">
        <v>12</v>
      </c>
      <c r="B17" s="3"/>
      <c r="C17" s="3"/>
      <c r="D17" s="2"/>
      <c r="E17" s="2"/>
      <c r="F17" s="2" t="str">
        <f t="shared" si="0"/>
        <v/>
      </c>
      <c r="G17" s="2" t="str">
        <f>IF(E17="","",_xludf.RANK.EQ(E17,$E$6:$E$35,0))</f>
        <v/>
      </c>
      <c r="H17" s="3"/>
      <c r="J17" s="9" t="e">
        <f>'ĐÁNH GIÁ HIỆU SUẤT P2'!#REF!</f>
        <v>#REF!</v>
      </c>
      <c r="K17" s="9" t="e">
        <f>'ĐÁNH GIÁ HIỆU SUẤT P2'!#REF!</f>
        <v>#REF!</v>
      </c>
      <c r="M17" s="9" t="e">
        <f>'ĐÁNH GIÁ HIỆU SUẤT P2'!#REF!</f>
        <v>#REF!</v>
      </c>
      <c r="N17" s="9">
        <f>'ĐÁNH GIÁ HIỆU SUẤT P2'!B20</f>
        <v>0</v>
      </c>
    </row>
    <row r="18" spans="1:14" x14ac:dyDescent="0.3">
      <c r="A18" s="2">
        <v>13</v>
      </c>
      <c r="B18" s="3"/>
      <c r="C18" s="3"/>
      <c r="D18" s="2"/>
      <c r="E18" s="2"/>
      <c r="F18" s="2" t="str">
        <f t="shared" si="0"/>
        <v/>
      </c>
      <c r="G18" s="2" t="str">
        <f>IF(E18="","",_xludf.RANK.EQ(E18,$E$6:$E$35,0))</f>
        <v/>
      </c>
      <c r="H18" s="3"/>
      <c r="J18" s="9" t="e">
        <f>'ĐÁNH GIÁ HIỆU SUẤT P2'!#REF!</f>
        <v>#REF!</v>
      </c>
      <c r="K18" s="9" t="e">
        <f>'ĐÁNH GIÁ HIỆU SUẤT P2'!#REF!</f>
        <v>#REF!</v>
      </c>
      <c r="M18" s="9" t="e">
        <f>'ĐÁNH GIÁ HIỆU SUẤT P2'!#REF!</f>
        <v>#REF!</v>
      </c>
      <c r="N18" s="9">
        <f>'ĐÁNH GIÁ HIỆU SUẤT P2'!B20</f>
        <v>0</v>
      </c>
    </row>
    <row r="19" spans="1:14" x14ac:dyDescent="0.3">
      <c r="A19" s="2">
        <v>14</v>
      </c>
      <c r="B19" s="3"/>
      <c r="C19" s="3"/>
      <c r="D19" s="2"/>
      <c r="E19" s="2"/>
      <c r="F19" s="2" t="str">
        <f t="shared" si="0"/>
        <v/>
      </c>
      <c r="G19" s="2" t="str">
        <f>IF(E19="","",_xludf.RANK.EQ(E19,$E$6:$E$35,0))</f>
        <v/>
      </c>
      <c r="H19" s="3"/>
      <c r="J19" s="9" t="e">
        <f>'ĐÁNH GIÁ HIỆU SUẤT P2'!#REF!</f>
        <v>#REF!</v>
      </c>
      <c r="K19" s="9" t="e">
        <f>'ĐÁNH GIÁ HIỆU SUẤT P2'!#REF!</f>
        <v>#REF!</v>
      </c>
      <c r="M19" s="9" t="e">
        <f>'ĐÁNH GIÁ HIỆU SUẤT P2'!#REF!</f>
        <v>#REF!</v>
      </c>
      <c r="N19" s="9">
        <f>'ĐÁNH GIÁ HIỆU SUẤT P2'!B20</f>
        <v>0</v>
      </c>
    </row>
    <row r="20" spans="1:14" x14ac:dyDescent="0.3">
      <c r="A20" s="2">
        <v>15</v>
      </c>
      <c r="B20" s="3"/>
      <c r="C20" s="3"/>
      <c r="D20" s="2"/>
      <c r="E20" s="2"/>
      <c r="F20" s="2" t="str">
        <f t="shared" si="0"/>
        <v/>
      </c>
      <c r="G20" s="2" t="str">
        <f>IF(E20="","",_xludf.RANK.EQ(E20,$E$6:$E$35,0))</f>
        <v/>
      </c>
      <c r="H20" s="3"/>
      <c r="J20" s="9" t="e">
        <f>'ĐÁNH GIÁ HIỆU SUẤT P2'!#REF!</f>
        <v>#REF!</v>
      </c>
      <c r="K20" s="9" t="e">
        <f>'ĐÁNH GIÁ HIỆU SUẤT P2'!#REF!</f>
        <v>#REF!</v>
      </c>
      <c r="M20" s="9" t="e">
        <f>'ĐÁNH GIÁ HIỆU SUẤT P2'!#REF!</f>
        <v>#REF!</v>
      </c>
      <c r="N20" s="9">
        <f>'ĐÁNH GIÁ HIỆU SUẤT P2'!B20</f>
        <v>0</v>
      </c>
    </row>
    <row r="21" spans="1:14" x14ac:dyDescent="0.3">
      <c r="A21" s="2">
        <v>16</v>
      </c>
      <c r="B21" s="3"/>
      <c r="C21" s="3"/>
      <c r="D21" s="2"/>
      <c r="E21" s="2"/>
      <c r="F21" s="2" t="str">
        <f t="shared" si="0"/>
        <v/>
      </c>
      <c r="G21" s="2" t="str">
        <f>IF(E21="","",_xludf.RANK.EQ(E21,$E$6:$E$35,0))</f>
        <v/>
      </c>
      <c r="H21" s="3"/>
      <c r="J21" s="9" t="e">
        <f>'ĐÁNH GIÁ HIỆU SUẤT P2'!#REF!</f>
        <v>#REF!</v>
      </c>
      <c r="K21" s="9" t="e">
        <f>'ĐÁNH GIÁ HIỆU SUẤT P2'!#REF!</f>
        <v>#REF!</v>
      </c>
      <c r="M21" s="9" t="e">
        <f>'ĐÁNH GIÁ HIỆU SUẤT P2'!#REF!</f>
        <v>#REF!</v>
      </c>
      <c r="N21" s="9">
        <f>'ĐÁNH GIÁ HIỆU SUẤT P2'!B20</f>
        <v>0</v>
      </c>
    </row>
    <row r="22" spans="1:14" x14ac:dyDescent="0.3">
      <c r="A22" s="2">
        <v>17</v>
      </c>
      <c r="B22" s="3"/>
      <c r="C22" s="3"/>
      <c r="D22" s="2"/>
      <c r="E22" s="2"/>
      <c r="F22" s="2" t="str">
        <f t="shared" si="0"/>
        <v/>
      </c>
      <c r="G22" s="2" t="str">
        <f>IF(E22="","",_xludf.RANK.EQ(E22,$E$6:$E$35,0))</f>
        <v/>
      </c>
      <c r="H22" s="3"/>
      <c r="J22" s="9" t="e">
        <f>'ĐÁNH GIÁ HIỆU SUẤT P2'!#REF!</f>
        <v>#REF!</v>
      </c>
      <c r="K22" s="9" t="e">
        <f>'ĐÁNH GIÁ HIỆU SUẤT P2'!#REF!</f>
        <v>#REF!</v>
      </c>
      <c r="M22" s="9" t="e">
        <f>'ĐÁNH GIÁ HIỆU SUẤT P2'!#REF!</f>
        <v>#REF!</v>
      </c>
      <c r="N22" s="9">
        <f>'ĐÁNH GIÁ HIỆU SUẤT P2'!B20</f>
        <v>0</v>
      </c>
    </row>
    <row r="23" spans="1:14" x14ac:dyDescent="0.3">
      <c r="A23" s="2">
        <v>18</v>
      </c>
      <c r="B23" s="3"/>
      <c r="C23" s="3"/>
      <c r="D23" s="2"/>
      <c r="E23" s="2"/>
      <c r="F23" s="2" t="str">
        <f t="shared" si="0"/>
        <v/>
      </c>
      <c r="G23" s="2" t="str">
        <f>IF(E23="","",_xludf.RANK.EQ(E23,$E$6:$E$35,0))</f>
        <v/>
      </c>
      <c r="H23" s="3"/>
      <c r="J23" s="9" t="e">
        <f>'ĐÁNH GIÁ HIỆU SUẤT P2'!#REF!</f>
        <v>#REF!</v>
      </c>
      <c r="K23" s="9" t="e">
        <f>'ĐÁNH GIÁ HIỆU SUẤT P2'!#REF!</f>
        <v>#REF!</v>
      </c>
      <c r="M23" s="9" t="e">
        <f>'ĐÁNH GIÁ HIỆU SUẤT P2'!#REF!</f>
        <v>#REF!</v>
      </c>
      <c r="N23" s="9">
        <f>'ĐÁNH GIÁ HIỆU SUẤT P2'!B20</f>
        <v>0</v>
      </c>
    </row>
    <row r="24" spans="1:14" x14ac:dyDescent="0.3">
      <c r="A24" s="2">
        <v>19</v>
      </c>
      <c r="B24" s="3"/>
      <c r="C24" s="3"/>
      <c r="D24" s="2"/>
      <c r="E24" s="2"/>
      <c r="F24" s="2" t="str">
        <f t="shared" si="0"/>
        <v/>
      </c>
      <c r="G24" s="2" t="str">
        <f>IF(E24="","",_xludf.RANK.EQ(E24,$E$6:$E$35,0))</f>
        <v/>
      </c>
      <c r="H24" s="3"/>
      <c r="J24" s="9" t="e">
        <f>'ĐÁNH GIÁ HIỆU SUẤT P2'!#REF!</f>
        <v>#REF!</v>
      </c>
      <c r="K24" s="9" t="e">
        <f>'ĐÁNH GIÁ HIỆU SUẤT P2'!#REF!</f>
        <v>#REF!</v>
      </c>
      <c r="M24" s="9" t="e">
        <f>'ĐÁNH GIÁ HIỆU SUẤT P2'!#REF!</f>
        <v>#REF!</v>
      </c>
      <c r="N24" s="9">
        <f>'ĐÁNH GIÁ HIỆU SUẤT P2'!B20</f>
        <v>0</v>
      </c>
    </row>
    <row r="25" spans="1:14" x14ac:dyDescent="0.3">
      <c r="A25" s="2">
        <v>20</v>
      </c>
      <c r="B25" s="3"/>
      <c r="C25" s="3"/>
      <c r="D25" s="2"/>
      <c r="E25" s="2"/>
      <c r="F25" s="2" t="str">
        <f t="shared" si="0"/>
        <v/>
      </c>
      <c r="G25" s="2" t="str">
        <f>IF(E25="","",_xludf.RANK.EQ(E25,$E$6:$E$35,0))</f>
        <v/>
      </c>
      <c r="H25" s="3"/>
      <c r="J25" s="9" t="e">
        <f>'ĐÁNH GIÁ HIỆU SUẤT P2'!#REF!</f>
        <v>#REF!</v>
      </c>
      <c r="K25" s="9" t="e">
        <f>'ĐÁNH GIÁ HIỆU SUẤT P2'!#REF!</f>
        <v>#REF!</v>
      </c>
      <c r="M25" s="9" t="e">
        <f>'ĐÁNH GIÁ HIỆU SUẤT P2'!#REF!</f>
        <v>#REF!</v>
      </c>
      <c r="N25" s="9">
        <f>'ĐÁNH GIÁ HIỆU SUẤT P2'!B20</f>
        <v>0</v>
      </c>
    </row>
    <row r="26" spans="1:14" x14ac:dyDescent="0.3">
      <c r="A26" s="2">
        <v>21</v>
      </c>
      <c r="B26" s="3"/>
      <c r="C26" s="3"/>
      <c r="D26" s="2"/>
      <c r="E26" s="2"/>
      <c r="F26" s="2" t="str">
        <f t="shared" si="0"/>
        <v/>
      </c>
      <c r="G26" s="2" t="str">
        <f>IF(E26="","",_xludf.RANK.EQ(E26,$E$6:$E$35,0))</f>
        <v/>
      </c>
      <c r="H26" s="3"/>
      <c r="J26" s="9" t="e">
        <f>'ĐÁNH GIÁ HIỆU SUẤT P2'!#REF!</f>
        <v>#REF!</v>
      </c>
      <c r="K26" s="9" t="e">
        <f>'ĐÁNH GIÁ HIỆU SUẤT P2'!#REF!</f>
        <v>#REF!</v>
      </c>
      <c r="M26" s="9" t="e">
        <f>'ĐÁNH GIÁ HIỆU SUẤT P2'!#REF!</f>
        <v>#REF!</v>
      </c>
      <c r="N26" s="9">
        <f>'ĐÁNH GIÁ HIỆU SUẤT P2'!B20</f>
        <v>0</v>
      </c>
    </row>
    <row r="27" spans="1:14" x14ac:dyDescent="0.3">
      <c r="A27" s="2">
        <v>22</v>
      </c>
      <c r="B27" s="3"/>
      <c r="C27" s="3"/>
      <c r="D27" s="2"/>
      <c r="E27" s="2"/>
      <c r="F27" s="2" t="str">
        <f t="shared" si="0"/>
        <v/>
      </c>
      <c r="G27" s="2" t="str">
        <f>IF(E27="","",_xludf.RANK.EQ(E27,$E$6:$E$35,0))</f>
        <v/>
      </c>
      <c r="H27" s="3"/>
      <c r="J27" s="9" t="e">
        <f>'ĐÁNH GIÁ HIỆU SUẤT P2'!#REF!</f>
        <v>#REF!</v>
      </c>
      <c r="K27" s="9" t="e">
        <f>'ĐÁNH GIÁ HIỆU SUẤT P2'!#REF!</f>
        <v>#REF!</v>
      </c>
      <c r="M27" s="9" t="e">
        <f>'ĐÁNH GIÁ HIỆU SUẤT P2'!#REF!</f>
        <v>#REF!</v>
      </c>
      <c r="N27" s="9">
        <f>'ĐÁNH GIÁ HIỆU SUẤT P2'!B20</f>
        <v>0</v>
      </c>
    </row>
    <row r="28" spans="1:14" x14ac:dyDescent="0.3">
      <c r="A28" s="2">
        <v>23</v>
      </c>
      <c r="B28" s="3"/>
      <c r="C28" s="3"/>
      <c r="D28" s="2"/>
      <c r="E28" s="2"/>
      <c r="F28" s="2" t="str">
        <f t="shared" si="0"/>
        <v/>
      </c>
      <c r="G28" s="2" t="str">
        <f>IF(E28="","",_xludf.RANK.EQ(E28,$E$6:$E$35,0))</f>
        <v/>
      </c>
      <c r="H28" s="3"/>
      <c r="J28" s="9" t="e">
        <f>'ĐÁNH GIÁ HIỆU SUẤT P2'!#REF!</f>
        <v>#REF!</v>
      </c>
      <c r="K28" s="9" t="e">
        <f>'ĐÁNH GIÁ HIỆU SUẤT P2'!#REF!</f>
        <v>#REF!</v>
      </c>
      <c r="M28" s="9" t="e">
        <f>'ĐÁNH GIÁ HIỆU SUẤT P2'!#REF!</f>
        <v>#REF!</v>
      </c>
      <c r="N28" s="9">
        <f>'ĐÁNH GIÁ HIỆU SUẤT P2'!B20</f>
        <v>0</v>
      </c>
    </row>
    <row r="29" spans="1:14" x14ac:dyDescent="0.3">
      <c r="A29" s="2">
        <v>24</v>
      </c>
      <c r="B29" s="3"/>
      <c r="C29" s="3"/>
      <c r="D29" s="2"/>
      <c r="E29" s="2"/>
      <c r="F29" s="2" t="str">
        <f t="shared" si="0"/>
        <v/>
      </c>
      <c r="G29" s="2" t="str">
        <f>IF(E29="","",_xludf.RANK.EQ(E29,$E$6:$E$35,0))</f>
        <v/>
      </c>
      <c r="H29" s="3"/>
      <c r="J29" s="9" t="e">
        <f>'ĐÁNH GIÁ HIỆU SUẤT P2'!#REF!</f>
        <v>#REF!</v>
      </c>
      <c r="K29" s="9" t="e">
        <f>'ĐÁNH GIÁ HIỆU SUẤT P2'!#REF!</f>
        <v>#REF!</v>
      </c>
      <c r="M29" s="9" t="e">
        <f>'ĐÁNH GIÁ HIỆU SUẤT P2'!#REF!</f>
        <v>#REF!</v>
      </c>
      <c r="N29" s="9">
        <f>'ĐÁNH GIÁ HIỆU SUẤT P2'!B20</f>
        <v>0</v>
      </c>
    </row>
    <row r="30" spans="1:14" x14ac:dyDescent="0.3">
      <c r="A30" s="2">
        <v>25</v>
      </c>
      <c r="B30" s="3"/>
      <c r="C30" s="3"/>
      <c r="D30" s="2"/>
      <c r="E30" s="2"/>
      <c r="F30" s="2" t="str">
        <f t="shared" si="0"/>
        <v/>
      </c>
      <c r="G30" s="2" t="str">
        <f>IF(E30="","",_xludf.RANK.EQ(E30,$E$6:$E$35,0))</f>
        <v/>
      </c>
      <c r="H30" s="3"/>
      <c r="J30" s="9" t="e">
        <f>'ĐÁNH GIÁ HIỆU SUẤT P2'!#REF!</f>
        <v>#REF!</v>
      </c>
      <c r="K30" s="9" t="e">
        <f>'ĐÁNH GIÁ HIỆU SUẤT P2'!#REF!</f>
        <v>#REF!</v>
      </c>
      <c r="M30" s="9" t="e">
        <f>'ĐÁNH GIÁ HIỆU SUẤT P2'!#REF!</f>
        <v>#REF!</v>
      </c>
      <c r="N30" s="9">
        <f>'ĐÁNH GIÁ HIỆU SUẤT P2'!B20</f>
        <v>0</v>
      </c>
    </row>
    <row r="31" spans="1:14" x14ac:dyDescent="0.3">
      <c r="A31" s="2">
        <v>26</v>
      </c>
      <c r="B31" s="3"/>
      <c r="C31" s="3"/>
      <c r="D31" s="2"/>
      <c r="E31" s="2"/>
      <c r="F31" s="2" t="str">
        <f t="shared" si="0"/>
        <v/>
      </c>
      <c r="G31" s="2" t="str">
        <f>IF(E31="","",_xludf.RANK.EQ(E31,$E$6:$E$35,0))</f>
        <v/>
      </c>
      <c r="H31" s="3"/>
      <c r="J31" s="9" t="e">
        <f>'ĐÁNH GIÁ HIỆU SUẤT P2'!#REF!</f>
        <v>#REF!</v>
      </c>
      <c r="K31" s="9" t="e">
        <f>'ĐÁNH GIÁ HIỆU SUẤT P2'!#REF!</f>
        <v>#REF!</v>
      </c>
      <c r="M31" s="9" t="e">
        <f>'ĐÁNH GIÁ HIỆU SUẤT P2'!#REF!</f>
        <v>#REF!</v>
      </c>
      <c r="N31" s="9">
        <f>'ĐÁNH GIÁ HIỆU SUẤT P2'!B20</f>
        <v>0</v>
      </c>
    </row>
    <row r="32" spans="1:14" x14ac:dyDescent="0.3">
      <c r="A32" s="2">
        <v>27</v>
      </c>
      <c r="B32" s="3"/>
      <c r="C32" s="3"/>
      <c r="D32" s="2"/>
      <c r="E32" s="2"/>
      <c r="F32" s="2" t="str">
        <f t="shared" si="0"/>
        <v/>
      </c>
      <c r="G32" s="2" t="str">
        <f>IF(E32="","",_xludf.RANK.EQ(E32,$E$6:$E$35,0))</f>
        <v/>
      </c>
      <c r="H32" s="3"/>
      <c r="J32" s="9" t="e">
        <f>'ĐÁNH GIÁ HIỆU SUẤT P2'!#REF!</f>
        <v>#REF!</v>
      </c>
      <c r="K32" s="9" t="e">
        <f>'ĐÁNH GIÁ HIỆU SUẤT P2'!#REF!</f>
        <v>#REF!</v>
      </c>
      <c r="M32" s="9" t="e">
        <f>'ĐÁNH GIÁ HIỆU SUẤT P2'!#REF!</f>
        <v>#REF!</v>
      </c>
      <c r="N32" s="9">
        <f>'ĐÁNH GIÁ HIỆU SUẤT P2'!B20</f>
        <v>0</v>
      </c>
    </row>
    <row r="33" spans="1:14" x14ac:dyDescent="0.3">
      <c r="A33" s="2">
        <v>28</v>
      </c>
      <c r="B33" s="3"/>
      <c r="C33" s="3"/>
      <c r="D33" s="2"/>
      <c r="E33" s="2"/>
      <c r="F33" s="2" t="str">
        <f t="shared" si="0"/>
        <v/>
      </c>
      <c r="G33" s="2" t="str">
        <f>IF(E33="","",_xludf.RANK.EQ(E33,$E$6:$E$35,0))</f>
        <v/>
      </c>
      <c r="H33" s="3"/>
      <c r="J33" s="9" t="e">
        <f>'ĐÁNH GIÁ HIỆU SUẤT P2'!#REF!</f>
        <v>#REF!</v>
      </c>
      <c r="K33" s="9" t="e">
        <f>'ĐÁNH GIÁ HIỆU SUẤT P2'!#REF!</f>
        <v>#REF!</v>
      </c>
      <c r="M33" s="9" t="e">
        <f>'ĐÁNH GIÁ HIỆU SUẤT P2'!#REF!</f>
        <v>#REF!</v>
      </c>
      <c r="N33" s="9">
        <f>'ĐÁNH GIÁ HIỆU SUẤT P2'!B20</f>
        <v>0</v>
      </c>
    </row>
    <row r="34" spans="1:14" x14ac:dyDescent="0.3">
      <c r="A34" s="2">
        <v>29</v>
      </c>
      <c r="B34" s="3"/>
      <c r="C34" s="3"/>
      <c r="D34" s="2"/>
      <c r="E34" s="2"/>
      <c r="F34" s="2" t="str">
        <f t="shared" si="0"/>
        <v/>
      </c>
      <c r="G34" s="2" t="str">
        <f>IF(E34="","",_xludf.RANK.EQ(E34,$E$6:$E$35,0))</f>
        <v/>
      </c>
      <c r="H34" s="3"/>
      <c r="J34" s="9" t="e">
        <f>'ĐÁNH GIÁ HIỆU SUẤT P2'!#REF!</f>
        <v>#REF!</v>
      </c>
      <c r="K34" s="9" t="e">
        <f>'ĐÁNH GIÁ HIỆU SUẤT P2'!#REF!</f>
        <v>#REF!</v>
      </c>
      <c r="M34" s="9" t="e">
        <f>'ĐÁNH GIÁ HIỆU SUẤT P2'!#REF!</f>
        <v>#REF!</v>
      </c>
      <c r="N34" s="9">
        <f>'ĐÁNH GIÁ HIỆU SUẤT P2'!B20</f>
        <v>0</v>
      </c>
    </row>
    <row r="35" spans="1:14" x14ac:dyDescent="0.3">
      <c r="A35" s="2">
        <v>30</v>
      </c>
      <c r="B35" s="3"/>
      <c r="C35" s="3"/>
      <c r="D35" s="2"/>
      <c r="E35" s="2"/>
      <c r="F35" s="2" t="str">
        <f t="shared" si="0"/>
        <v/>
      </c>
      <c r="G35" s="2" t="str">
        <f>IF(E35="","",_xludf.RANK.EQ(E35,$E$6:$E$35,0))</f>
        <v/>
      </c>
      <c r="H35" s="3"/>
      <c r="J35" s="9" t="e">
        <f>'ĐÁNH GIÁ HIỆU SUẤT P2'!#REF!</f>
        <v>#REF!</v>
      </c>
      <c r="K35" s="9" t="e">
        <f>'ĐÁNH GIÁ HIỆU SUẤT P2'!#REF!</f>
        <v>#REF!</v>
      </c>
      <c r="M35" s="9" t="e">
        <f>'ĐÁNH GIÁ HIỆU SUẤT P2'!#REF!</f>
        <v>#REF!</v>
      </c>
      <c r="N35" s="9">
        <f>'ĐÁNH GIÁ HIỆU SUẤT P2'!B20</f>
        <v>0</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QUAN &amp; LƯU Ý</vt:lpstr>
      <vt:lpstr>CẤU TRÚC &amp; TRỌNG SỐ</vt:lpstr>
      <vt:lpstr>ĐÁNH GIÁ HIỆU SUẤT P2</vt:lpstr>
      <vt:lpstr>MÔ TẢ - PHỤ LỤC</vt:lpstr>
      <vt:lpstr>NHÂN SỰ</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cp:lastPrinted>2026-02-27T01:47:28Z</cp:lastPrinted>
  <dcterms:created xsi:type="dcterms:W3CDTF">2026-01-27T07:04:19Z</dcterms:created>
  <dcterms:modified xsi:type="dcterms:W3CDTF">2026-02-27T07:20:37Z</dcterms:modified>
</cp:coreProperties>
</file>