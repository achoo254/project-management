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amp; LƯU Ý" sheetId="1" r:id="rId5"/>
    <sheet state="visible" name="CẤU TRÚC &amp; TRỌNG SỐ" sheetId="2" r:id="rId6"/>
    <sheet state="visible" name="ĐÁNH GIÁ HIỆU SUẤT P2" sheetId="3" r:id="rId7"/>
    <sheet state="visible" name="MÔ TẢ - PHỤ LỤC" sheetId="4" r:id="rId8"/>
    <sheet state="visible" name="NHÂN SỰ" sheetId="5" r:id="rId9"/>
    <sheet state="hidden" name="Summary_Ranking" sheetId="6" r:id="rId10"/>
  </sheets>
  <definedNames/>
  <calcPr/>
</workbook>
</file>

<file path=xl/sharedStrings.xml><?xml version="1.0" encoding="utf-8"?>
<sst xmlns="http://schemas.openxmlformats.org/spreadsheetml/2006/main" count="245" uniqueCount="182">
  <si>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</si>
  <si>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</si>
  <si>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</si>
  <si>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</si>
  <si>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CẤU TRÚC &amp; TRỌNG SỐ P2+</t>
  </si>
  <si>
    <t>I. CẤU TRÚC TỔNG THỂ P2+</t>
  </si>
  <si>
    <t>P2+ gồm 2 thành phần:</t>
  </si>
  <si>
    <t>A. P2-Core – Năng lực &amp; cách làm việc</t>
  </si>
  <si>
    <t xml:space="preserve">  • A. Năng lực kỹ thuật</t>
  </si>
  <si>
    <t xml:space="preserve">  • B. Ownership &amp; Trách nhiệm</t>
  </si>
  <si>
    <t xml:space="preserve">  • C. DevOps &amp; Vận hành</t>
  </si>
  <si>
    <t xml:space="preserve">  • D. AI Agent &amp; Cải tiến</t>
  </si>
  <si>
    <t>B. P2-Delivery – Kết quả công việc</t>
  </si>
  <si>
    <t xml:space="preserve">  • OKR/KPI tháng hoặc quý</t>
  </si>
  <si>
    <t xml:space="preserve">  • Chất lượng delivery</t>
  </si>
  <si>
    <t>II. CÁCH TÍNH ĐIỂM P2+</t>
  </si>
  <si>
    <t>P2+ là điểm đánh giá cuối cùng dùng để xếp loại năng lực.</t>
  </si>
  <si>
    <t>P2+ Tổng = (P2-Core × A) + (P2-Delivery × B)</t>
  </si>
  <si>
    <t>📌 Trong đó:</t>
  </si>
  <si>
    <t>P2-Core: phản ánh năng lực &amp; cách làm việc dài hạn</t>
  </si>
  <si>
    <t>P2-Delivery: phản ánh kết quả thực tế trong kỳ</t>
  </si>
  <si>
    <t>Trọng số A (Core) và B (Delivery): được điều chỉnh theo mục tiêu từng giai đoạn</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</si>
  <si>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</si>
  <si>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</si>
  <si>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</si>
  <si>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</si>
  <si>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</si>
  <si>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</si>
  <si>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</si>
  <si>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</si>
  <si>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</si>
  <si>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</si>
  <si>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TRỌNG SỐ THEO VAI TRÒ</t>
  </si>
  <si>
    <t>Vai trò</t>
  </si>
  <si>
    <t>Năng lực kỹ thuật</t>
  </si>
  <si>
    <t>Ownership &amp; trách nhiệm</t>
  </si>
  <si>
    <t>DevOps &amp; vận hành</t>
  </si>
  <si>
    <t>AI Agent &amp; cải tiến</t>
  </si>
  <si>
    <t>Design System</t>
  </si>
  <si>
    <t>Backend</t>
  </si>
  <si>
    <t>Frontend</t>
  </si>
  <si>
    <t>Fullstack</t>
  </si>
  <si>
    <t>V. NGƯỠNG XẾP LOẠI</t>
  </si>
  <si>
    <t>P2+ Tổng</t>
  </si>
  <si>
    <t>Xếp loại</t>
  </si>
  <si>
    <t>&lt; 1</t>
  </si>
  <si>
    <t>Chưa đạt</t>
  </si>
  <si>
    <t>1</t>
  </si>
  <si>
    <t>Đạt</t>
  </si>
  <si>
    <t>&gt; 1 và ≤ 1.2</t>
  </si>
  <si>
    <t>Tốt</t>
  </si>
  <si>
    <t>Level 2 Core</t>
  </si>
  <si>
    <t>Điểm</t>
  </si>
  <si>
    <t>Chưa Đạt</t>
  </si>
  <si>
    <t>Level 2 Delivery</t>
  </si>
  <si>
    <t>A &amp; B</t>
  </si>
  <si>
    <t>Trọng số (MAX 1)</t>
  </si>
  <si>
    <t>A (Core)</t>
  </si>
  <si>
    <t>B (Delivery)</t>
  </si>
  <si>
    <t>Weight Delivery</t>
  </si>
  <si>
    <t>OKR/KPI</t>
  </si>
  <si>
    <t>Chất lượng</t>
  </si>
  <si>
    <t>Cam kết</t>
  </si>
  <si>
    <t>P2 PERFORMANCE EVALUATION</t>
  </si>
  <si>
    <t>Họ và tên</t>
  </si>
  <si>
    <t>ĐINH TIẾN CHƯƠNG</t>
  </si>
  <si>
    <t>Kỳ đánh giá</t>
  </si>
  <si>
    <t>Người đánh giá</t>
  </si>
  <si>
    <t>NĂNG LỰC NỀN TẢNG (P2-Core – thang điểm từ 0.8 đến 1.0)</t>
  </si>
  <si>
    <t>Nhóm năng lực</t>
  </si>
  <si>
    <t>Trọng số (%)</t>
  </si>
  <si>
    <t>Mức hiện tại</t>
  </si>
  <si>
    <t>A. Năng lực kỹ thuật</t>
  </si>
  <si>
    <t>B. Ownership &amp; trách nhiệm</t>
  </si>
  <si>
    <t>C. DevOps &amp; vận hành (bắt buộc)</t>
  </si>
  <si>
    <t>D. AI Agent &amp; cải tiến (bắt buộc)</t>
  </si>
  <si>
    <t>TỔNG</t>
  </si>
  <si>
    <t>ĐÁNH GIÁ P2-CORE</t>
  </si>
  <si>
    <t>KẾT QUẢ CÔNG VIỆC (P2-Delivery – thang điểm từ 0.8 đến 1.2)</t>
  </si>
  <si>
    <t>Tiêu chí</t>
  </si>
  <si>
    <t>Mô tả</t>
  </si>
  <si>
    <t>MỨC ĐÁNH GIÁ</t>
  </si>
  <si>
    <t>Mức độ hoàn thành OKR</t>
  </si>
  <si>
    <t>Tỷ lệ hoàn thành các mục tiêu đã cam kết trong kỳ đánh giá</t>
  </si>
  <si>
    <t>Chất lượng kết quả</t>
  </si>
  <si>
    <t>Ít lỗi nghiêm trọng; hạn chế làm lại; không gây rủi ro hệ thống</t>
  </si>
  <si>
    <t>Cam kết &amp; tiến độ</t>
  </si>
  <si>
    <t>Hoàn thành đúng hạn; chủ động báo sớm rủi ro; phối hợp tốt</t>
  </si>
  <si>
    <t>TỔNG ĐIỂM</t>
  </si>
  <si>
    <t>KẾT QUẢ HIỆU SUẤT P2</t>
  </si>
  <si>
    <t>ĐÁNH GIÁ TỔNG</t>
  </si>
  <si>
    <t>THANG ĐÁNH GIÁ CHI TIẾT (Level 1/Level 2/Level 3)</t>
  </si>
  <si>
    <t>Mức</t>
  </si>
  <si>
    <t>LEVEL 1</t>
  </si>
  <si>
    <t>Thực hiện được các phần việc rõ ràng khi có hướng dẫn; cần review thường xuyên; chất lượng chưa ổn định.</t>
  </si>
  <si>
    <t>LEVEL 2</t>
  </si>
  <si>
    <t>Tự triển khai độc lập; chất lượng ổn định, ít rework; chủ động xử lý rủi ro và cải thiện sản phẩm.</t>
  </si>
  <si>
    <t>LEVEL 3</t>
  </si>
  <si>
    <t>Extra: Không chỉ hoàn thành tốt phần việc cá nhân mà còn cải tiến sản phẩm, chuẩn hoá cách làm và lan toả kinh nghiệm cho nhóm.</t>
  </si>
  <si>
    <t>MÔ TẢ NĂNG LỰC THEO VAI TRÒ</t>
  </si>
  <si>
    <t>Gợi ý: dùng nút +/- (Outline) để thu gọn/mở rộng theo từng Vai trò. Cấp độ 1 (Thực thi – phối hợp): Làm tốt phần việc kỹ thuật của mình | Cấp độ 2 (Chủ động – cải tiến): Giải quyết bài toán xuyên hệ thống | Cấp độ 3 (Chuẩn hoá – dẫn dắt): Định hướng, tạo chuẩn, mở rộng</t>
  </si>
  <si>
    <t>Cấp độ 1</t>
  </si>
  <si>
    <t>Cấp độ 2</t>
  </si>
  <si>
    <t>Cấp độ 3</t>
  </si>
  <si>
    <t>Tự triển khai tính năng (API + DB); code dễ đọc; tests cơ bản; xử lý trường hợp lỗi không mong muốn xảy ra.</t>
  </si>
  <si>
    <t>Thiết kế kiến trúc/module gọn; cải thiện performance/security; tests chắc; nâng chất lượng qua review.</t>
  </si>
  <si>
    <t>Định hướng kiến trúc hệ thống có khả năng mở rộng; chủ động ngăn ngừa rủi ro và lỗi hệ thống; dẫn dắt cải tiến kỹ thuật lớn và hỗ trợ nâng cao năng lực đội ngũ.</t>
  </si>
  <si>
    <t>Bàn giao công việc ổn định; biết tách công việc thành các đầu việc rõ ràng; chịu trách nhiệm xử lý lỗi đến khi hoàn tất; chủ động báo sớm các rủi ro phát sinh.</t>
  </si>
  <si>
    <t>Chủ động quản lý phạm vi và rủi ro công việc; phối hợp hiệu quả với các bộ phận liên quan; giảm phát sinh làm lại nhờ yêu cầu và tài liệu được chuẩn bị rõ ràng.</t>
  </si>
  <si>
    <t>Cải tiến quy trình bàn giao công việc trong đội (tiêu chí hoàn thành, danh sách rà soát); xử lý các điểm nghẽn trong phối hợp giữa các nhóm; nâng cao khả năng dự báo và kiểm soát tiến độ chung.</t>
  </si>
  <si>
    <t>C. DevOps &amp; vận hành</t>
  </si>
  <si>
    <t>Thực hiện quy trình tích hợp và triển khai tự động; hiểu và sử dụng đúng cấu hình môi trường, thông tin bảo mật; theo dõi nhật ký và lỗi hệ thống; tham gia trực xử lý sự cố khi cần.</t>
  </si>
  <si>
    <t>Chủ động cải thiện quy trình triển khai (tối ưu hiệu năng, kiểm soát chất lượng); bổ sung theo dõi chỉ số và cảnh báo; thực hiện phương án quay lui khi có sự cố; nâng cao độ ổn định và rút ngắn thời gian khắc phục lỗi.</t>
  </si>
  <si>
    <t>Chuẩn hóa quy trình phát hành và giám sát hệ thống; xây dựng hướng dẫn vận hành và xử lý sự cố; chủ trì phân tích nguyên nhân sau sự cố; hướng dẫn và nâng cao năng lực vận hành cho đội ngũ.</t>
  </si>
  <si>
    <t>D. AI Agent &amp; cải tiến</t>
  </si>
  <si>
    <t>Sử dụng AI Agent để hỗ trợ code, chỉnh sửa code, viết kiểm thử và tìm lỗi; biết đặt yêu cầu rõ ràng; luôn kiểm tra lại kết quả trước khi áp dụng.</t>
  </si>
  <si>
    <t>Xây dựng mẫu yêu cầu và quy trình làm việc có thể tái sử dụng; dùng AI để hỗ trợ rà soát và tìm lỗi; theo dõi hiệu quả bằng các chỉ số như thời gian hoàn thành và tỷ lệ lỗi phát sinh.</t>
  </si>
  <si>
    <t>Dẫn dắt việc áp dụng AI trong kỹ thuật một cách có kiểm soát; đào tạo và hướng dẫn đội ngũ; tự động hóa các công việc lặp lại theo nguyên tắc an toàn, phân quyền và tuân thủ quy định nội bộ.</t>
  </si>
  <si>
    <t>Tự xây dựng luồng trải nghiệm và đặc tả giao diện; đảm bảo tính nhất quán về hình ảnh; bàn giao thiết kế rõ ràng để đội triển khai chính xác.</t>
  </si>
  <si>
    <t>Cải thiện khả năng sử dụng dựa trên nghiên cứu và đánh giá trải nghiệm; phát triển và mở rộng hệ thống thiết kế; giảm phát sinh làm lại nhờ đặc tả thiết kế rõ ràng.</t>
  </si>
  <si>
    <t>Định hướng thiết kế tổng thể; tạo ra tác động trải nghiệm người dùng có thể đo lường; quản trị và chuẩn hóa hệ thống thiết kế; hướng dẫn và kết nối các đội cùng áp dụng.</t>
  </si>
  <si>
    <t>Bàn giao công việc ổn định; xác định rõ phạm vi; lặp lại thiết kế kịp thời; phối hợp sớm với các bên triển khai để thống nhất ràng buộc.</t>
  </si>
  <si>
    <t>Quản lý các lựa chọn và đánh đổi trong thiết kế; chuẩn bị phương án thay thế; ghi nhận rõ các quyết định; giảm phát sinh làm lại thông qua rà soát thiết kế.</t>
  </si>
  <si>
    <t>Nâng chuẩn bàn giao thiết kế (tiêu chí hoàn thành, danh sách rà soát); tháo gỡ các vướng mắc phối hợp giữa các đội; nâng cao khả năng dự báo và kiểm soát tiến độ.</t>
  </si>
  <si>
    <t>Làm việc với môi trường preview và staging; sử dụng nhất quán các thành phần và chuẩn thiết kế; xây dựng đặc tả phù hợp với khả năng triển khai.</t>
  </si>
  <si>
    <t>Thúc đẩy áp dụng chuẩn thành phần thiết kế; cải thiện tự động hóa bàn giao thiết kế–triển khai; giảm lỗi tích hợp và công việc làm lại.</t>
  </si>
  <si>
    <t>Dẫn dắt chuẩn hóa quy trình thiết kế–triển khai với đội phát triển; xây dựng hướng dẫn và các thực hành tốt cho toàn đội.</t>
  </si>
  <si>
    <t>Sử dụng AI để hỗ trợ xây dựng khung thiết kế, nội dung trải nghiệm và phương án thiết kế; biết đặt yêu cầu phù hợp; kiểm tra và đối chiếu với hệ thống thiết kế hiện có.</t>
  </si>
  <si>
    <t>Xây dựng thư viện yêu cầu AI có thể tái sử dụng; tăng tốc tổng hợp nghiên cứu; theo dõi tác động của AI đến thời gian thực hiện và mức độ làm lại.</t>
  </si>
  <si>
    <t>Dẫn dắt việc áp dụng AI trong thiết kế một cách an toàn và có kiểm soát; đào tạo đội ngũ; tự động hóa các công việc lặp lại theo quy định và chuẩn quản trị.</t>
  </si>
  <si>
    <t>FrontEnd</t>
  </si>
  <si>
    <t>Tự triển khai tính năng giao diện từ đầu đến cuối (giao diện, trạng thái, tích hợp dữ liệu); xử lý các tình huống phát sinh; viết mã rõ ràng, dễ bảo trì.</t>
  </si>
  <si>
    <t>Cải thiện hiệu năng và khả năng truy cập của giao diện; xây dựng thành phần dùng lại; nâng cao kiến trúc và kiểm thử để tăng độ ổn định.</t>
  </si>
  <si>
    <t>Định hướng kỹ thuật frontend; dẫn dắt các thay đổi lớn để giảm rủi ro; hướng dẫn đội ngũ; chủ động ngăn ngừa lỗi ảnh hưởng diện rộng trên giao diện.</t>
  </si>
  <si>
    <t>Bàn giao công việc ổn định; chịu trách nhiệm xử lý lỗi đến khi hoàn tất; phối hợp sớm với backend và thiết kế; chủ động báo rủi ro.</t>
  </si>
  <si>
    <t>Quản lý các lựa chọn và đánh đổi về trải nghiệm người dùng; giảm phát sinh làm lại; nâng chất lượng bàn giao bằng đặc tả, minh chứng và tài liệu rõ ràng.</t>
  </si>
  <si>
    <t>Nâng chuẩn bàn giao và rà soát (chuẩn thành phần, danh sách rà soát); tháo gỡ vướng mắc phối hợp giữa các đội; nâng cao khả năng dự báo và kiểm soát tiến độ.</t>
  </si>
  <si>
    <t>Sử dụng thành thạo quy trình tích hợp và triển khai; quản lý cấu hình môi trường; theo dõi lỗi phía người dùng; giữ bản phát hành gọn và ổn định.</t>
  </si>
  <si>
    <t>Cải thiện quy trình triển khai (tối ưu tốc độ, kiểm soát chất lượng); giảm kích thước và thời gian tải; có phương án quay lui khi sự cố; nâng cao độ ổn định.</t>
  </si>
  <si>
    <t>Chuẩn hóa phát hành và giám sát cho frontend; xây dựng hướng dẫn xử lý sự cố; hướng dẫn đội ngũ thực hành vận hành; giảm lỗi phía người dùng và rút ngắn thời gian khắc phục.</t>
  </si>
  <si>
    <t>Sử dụng AI để hỗ trợ tạo khung code, chỉnh sửa code, viết kiểm thử và tìm lỗi; biết đặt yêu cầu rõ ràng; luôn kiểm tra lại trước khi áp dụng.</t>
  </si>
  <si>
    <t>Xây dựng mẫu yêu cầu AI có thể tái sử dụng (thành phần, khả năng truy cập, kiểm thử); dùng AI hỗ trợ rà soát và cải tiến mã; theo dõi hiệu quả bằng các chỉ số phù hợp.</t>
  </si>
  <si>
    <t>Dẫn dắt việc áp dụng AI trong frontend theo quy chuẩn; đào tạo đội ngũ; tự động hóa các công việc lặp lại một cách an toàn và có kiểm soát.</t>
  </si>
  <si>
    <t>FullStack</t>
  </si>
  <si>
    <t>Cấp độ 4</t>
  </si>
  <si>
    <t>Tự triển khai tính năng từ đầu đến cuối (giao diện, xử lý dữ liệu, lưu trữ); đảm bảo chất lượng cơ bản; viết kiểm thử cần thiết; xử lý các tình huống lỗi phát sinh.</t>
  </si>
  <si>
    <t>Phân định rõ trách nhiệm giữa backend và frontend; cải thiện hiệu năng và an toàn hệ thống; thực hiện tái cấu trúc có kiểm soát; xây dựng kiểm thử vững chắc hơn.</t>
  </si>
  <si>
    <t>Định hướng kỹ thuật end-to-end; chủ động ngăn ngừa rủi ro và lỗi hệ thống; hướng dẫn đội ngũ; dẫn dắt các đợt tái cấu trúc và chuyển đổi hệ thống lớn một cách an toàn.</t>
  </si>
  <si>
    <t>Dẫn dắt định hướng kiến trúc ở cấp sản phẩm/hệ thống; xây dựng nền tảng kỹ thuật bền vững cho nhiều sản phẩm; tạo lợi thế công nghệ dài hạn và ảnh hưởng chiến lược đến tổ chức.</t>
  </si>
  <si>
    <t>Chịu trách nhiệm toàn bộ tính năng từ đầu đến cuối; đảm bảo vận hành ổn định; chủ động báo rủi ro; xử lý triệt để vấn đề đến khi hoàn tất.</t>
  </si>
  <si>
    <t>Quản lý phạm vi và rủi ro công việc; trao đổi và thống nhất các đánh đổi kỹ thuật; giảm phát sinh làm lại; cải thiện chất lượng tài liệu và bàn giao.</t>
  </si>
  <si>
    <t>Nâng cao khả năng dự báo; xây dựng và áp dụng các chuẩn chung (tiêu chí hoàn thành, danh sách rà soát); tháo gỡ vướng mắc trong phối hợp giữa các đội.</t>
  </si>
  <si>
    <t>Xây dựng hệ thống vận hành có khả năng tự kiểm soát; chủ động phòng ngừa rủi ro; mô hình quản lý trở thành chuẩn tham chiếu cho các đơn vị khác.</t>
  </si>
  <si>
    <t>Sử dụng quy trình tích hợp và triển khai tự động; quản lý cấu hình và thông tin bảo mật; theo dõi lỗi và nhật ký hệ thống; triển khai an toàn và tham gia trực xử lý sự cố.</t>
  </si>
  <si>
    <t>Cải thiện quy trình triển khai; bổ sung theo dõi chỉ số và cảnh báo; có phương án quay lui khi cần; nâng cao độ ổn định trên toàn bộ hệ thống.</t>
  </si>
  <si>
    <t>Chuẩn hóa phát hành và giám sát hệ thống; xây dựng hướng dẫn vận hành và xử lý sự cố; giảm thời gian khắc phục lỗi; hướng dẫn đội ngũ thực hành vận hành hiệu quả.</t>
  </si>
  <si>
    <t>Định hướng chiến lược AI-first cho toàn bộ bộ phận; xây dựng môi trường phát triển tự động hoá cao (code/doc/test/deploy bằng AI); tối ưu chi phí nhân lực và tăng năng suất vượt trội cho tổ chức.</t>
  </si>
  <si>
    <t>Sử dụng AI hỗ trợ toàn bộ chuỗi phát triển (tạo khung, chỉnh sửa code, kiểm thử, tìm lỗi); biết đặt yêu cầu phù hợp; luôn rà soát kỹ kết quả trước khi áp dụng.</t>
  </si>
  <si>
    <t>Xây dựng mẫu yêu cầu và quy trình làm việc với AI có thể tái sử dụng; dùng AI hỗ trợ rà soát và tìm lỗi; theo dõi tác động đến thời gian thực hiện và chất lượng.</t>
  </si>
  <si>
    <t>Dẫn dắt việc áp dụng AI trong phát triển end-to-end một cách an toàn và có kiểm soát; đào tạo đội ngũ; tự động hóa các công việc xuyên suốt theo chuẩn quản trị.</t>
  </si>
  <si>
    <t>Xây dựng đội ngũ tự chủ và kế thừa; phát triển năng lực tổng thể của bộ phận Công Nghệ; tạo văn hoá học tập, cải tiến liên tục và lan toả ảnh hưởng ra toàn công ty.</t>
  </si>
  <si>
    <t>NHÂN SỰ</t>
  </si>
  <si>
    <t>VAI TRÒ</t>
  </si>
  <si>
    <t>TRỊNH QUỐC HOÀN ĐẠT</t>
  </si>
  <si>
    <t>BÙI VĂN HỔ</t>
  </si>
  <si>
    <t>NGUYỄN ĐĂNG ĐỨC</t>
  </si>
  <si>
    <t>TRẦN CÔNG TUẤN ANH</t>
  </si>
  <si>
    <t>NGUYỄN HUY HOÀNG</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</si>
  <si>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</si>
  <si>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</si>
  <si>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</si>
  <si>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</si>
  <si>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</si>
  <si>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</si>
  <si>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</si>
  <si>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</si>
  <si>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Bùi Văn Hổ</t>
  </si>
  <si>
    <t>Designer, Frontend</t>
  </si>
  <si>
    <t>Nguyễn Huy Hoàng</t>
  </si>
  <si>
    <t>Backend, Frontend</t>
  </si>
  <si>
    <t>Đinh Tiến Chương</t>
  </si>
  <si>
    <t>Nguyễn Đăng Đức</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</si>
</sst>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18.0"/>
      <color rgb="FFFFFFFF"/>
      <name val="Calibri"/>
    </font>
    <font/>
    <font>
      <sz val="11.0"/>
      <color rgb="FF1F1F1F"/>
      <name val="Calibri"/>
    </font>
    <font>
      <b/>
      <sz val="14.0"/>
      <color rgb="FFFFFFFF"/>
      <name val="Calibri"/>
    </font>
    <font>
      <b/>
      <sz val="16.0"/>
      <color rgb="FFFFFFFF"/>
      <name val="Calibri"/>
    </font>
    <font>
      <b/>
      <sz val="11.0"/>
      <color rgb="FF1F1F1F"/>
      <name val="Calibri"/>
    </font>
    <font>
      <sz val="11.0"/>
      <color theme="1"/>
      <name val="Calibri"/>
    </font>
    <font>
      <b/>
      <sz val="12.0"/>
      <color rgb="FF1F1F1F"/>
      <name val="Calibri"/>
    </font>
    <font>
      <b/>
      <sz val="14.0"/>
      <color theme="1"/>
      <name val="Calibri"/>
    </font>
    <font>
      <b/>
      <sz val="11.0"/>
      <color theme="1"/>
      <name val="Calibri"/>
    </font>
    <font>
      <b/>
      <sz val="11.0"/>
      <color theme="0"/>
      <name val="Calibri"/>
    </font>
    <font>
      <b/>
      <sz val="11.0"/>
      <color rgb="FFFFFFFF"/>
      <name val="Calibri"/>
    </font>
    <font>
      <i/>
      <sz val="10.0"/>
      <color rgb="FF404040"/>
      <name val="Calibri"/>
    </font>
    <font>
      <b/>
      <sz val="12.0"/>
      <color rgb="FFFFFFFF"/>
      <name val="Calibri"/>
    </font>
  </fonts>
  <fills count="15">
    <fill>
      <patternFill patternType="none"/>
    </fill>
    <fill>
      <patternFill patternType="lightGray"/>
    </fill>
    <fill>
      <patternFill patternType="solid">
        <fgColor rgb="FF1F4E79"/>
        <bgColor rgb="FF1F4E79"/>
      </patternFill>
    </fill>
    <fill>
      <patternFill patternType="solid">
        <fgColor rgb="FFFFFFFF"/>
        <bgColor rgb="FFFFFFFF"/>
      </patternFill>
    </fill>
    <fill>
      <patternFill patternType="solid">
        <fgColor rgb="FF2F5597"/>
        <bgColor rgb="FF2F5597"/>
      </patternFill>
    </fill>
    <fill>
      <patternFill patternType="solid">
        <fgColor rgb="FFD9E1F2"/>
        <bgColor rgb="FFD9E1F2"/>
      </patternFill>
    </fill>
    <fill>
      <patternFill patternType="solid">
        <fgColor rgb="FFF2F2F2"/>
        <bgColor rgb="FFF2F2F2"/>
      </patternFill>
    </fill>
    <fill>
      <patternFill patternType="solid">
        <fgColor rgb="FFDBE5F1"/>
        <bgColor rgb="FFDBE5F1"/>
      </patternFill>
    </fill>
    <fill>
      <patternFill patternType="solid">
        <fgColor theme="1"/>
        <bgColor theme="1"/>
      </patternFill>
    </fill>
    <fill>
      <patternFill patternType="solid">
        <fgColor rgb="FFF4F6F8"/>
        <bgColor rgb="FFF4F6F8"/>
      </patternFill>
    </fill>
    <fill>
      <patternFill patternType="solid">
        <fgColor theme="0"/>
        <bgColor theme="0"/>
      </patternFill>
    </fill>
    <fill>
      <patternFill patternType="solid">
        <fgColor rgb="FFF2DBDB"/>
        <bgColor rgb="FFF2DBDB"/>
      </patternFill>
    </fill>
    <fill>
      <patternFill patternType="solid">
        <fgColor rgb="FF111827"/>
        <bgColor rgb="FF111827"/>
      </patternFill>
    </fill>
    <fill>
      <patternFill patternType="solid">
        <fgColor rgb="FFE9EEF3"/>
        <bgColor rgb="FFE9EEF3"/>
      </patternFill>
    </fill>
    <fill>
      <patternFill patternType="solid">
        <fgColor rgb="FFFAFAFA"/>
        <bgColor rgb="FFFAFAFA"/>
      </patternFill>
    </fill>
  </fills>
  <borders count="31">
    <border/>
    <border>
      <left/>
      <top/>
      <bottom/>
    </border>
    <border>
      <top/>
      <bottom/>
    </border>
    <border>
      <right/>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bottom/>
    </border>
    <border>
      <right style="thin">
        <color rgb="FF000000"/>
      </right>
      <top/>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BFBFBF"/>
      </left>
      <right style="thin">
        <color rgb="FFBFBFBF"/>
      </right>
      <top/>
      <bottom/>
    </border>
    <border>
      <top style="thin">
        <color rgb="FF000000"/>
      </top>
      <bottom style="thin">
        <color rgb="FF000000"/>
      </bottom>
    </border>
    <border>
      <top style="thin">
        <color rgb="FF000000"/>
      </top>
    </border>
    <border>
      <left style="thin">
        <color rgb="FFBFBFBF"/>
      </left>
      <right style="thin">
        <color rgb="FFBFBFBF"/>
      </right>
      <top style="thin">
        <color rgb="FFBFBFBF"/>
      </top>
      <bottom style="thin">
        <color rgb="FFBFBFBF"/>
      </bottom>
    </border>
    <border>
      <left/>
      <top/>
      <bottom style="thin">
        <color rgb="FFBFBFBF"/>
      </bottom>
    </border>
    <border>
      <top/>
      <bottom style="thin">
        <color rgb="FFBFBFBF"/>
      </bottom>
    </border>
    <border>
      <right/>
      <top/>
      <bottom style="thin">
        <color rgb="FFBFBFBF"/>
      </bottom>
    </border>
    <border>
      <left style="thin">
        <color rgb="FFC9CDD2"/>
      </left>
      <right style="thin">
        <color rgb="FFC9CDD2"/>
      </right>
      <top style="thin">
        <color rgb="FFC9CDD2"/>
      </top>
      <bottom style="thin">
        <color rgb="FFC9CDD2"/>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top" wrapText="1"/>
    </xf>
    <xf borderId="1" fillId="4" fontId="4" numFmtId="0" xfId="0" applyAlignment="1" applyBorder="1" applyFill="1" applyFont="1">
      <alignment horizontal="left" shrinkToFit="0" vertical="top" wrapText="1"/>
    </xf>
    <xf borderId="1" fillId="2" fontId="5" numFmtId="0" xfId="0" applyAlignment="1" applyBorder="1" applyFont="1">
      <alignment horizontal="center" shrinkToFit="0" vertical="center" wrapText="1"/>
    </xf>
    <xf borderId="4" fillId="4" fontId="4" numFmtId="0" xfId="0" applyAlignment="1" applyBorder="1" applyFont="1">
      <alignment horizontal="left" shrinkToFit="0" vertical="center" wrapText="1"/>
    </xf>
    <xf borderId="5" fillId="0" fontId="2" numFmtId="0" xfId="0" applyBorder="1" applyFont="1"/>
    <xf borderId="6" fillId="0" fontId="2" numFmtId="0" xfId="0" applyBorder="1" applyFont="1"/>
    <xf borderId="7" fillId="5" fontId="6" numFmtId="0" xfId="0" applyAlignment="1" applyBorder="1" applyFill="1" applyFont="1">
      <alignment horizontal="left" shrinkToFit="0" vertical="center" wrapText="1"/>
    </xf>
    <xf borderId="8" fillId="0" fontId="2" numFmtId="0" xfId="0" applyBorder="1" applyFont="1"/>
    <xf borderId="7" fillId="6" fontId="6" numFmtId="0" xfId="0" applyAlignment="1" applyBorder="1" applyFill="1" applyFont="1">
      <alignment horizontal="left" shrinkToFit="0" vertical="center" wrapText="1"/>
    </xf>
    <xf borderId="9" fillId="0" fontId="7" numFmtId="0" xfId="0" applyBorder="1" applyFont="1"/>
    <xf borderId="0" fillId="0" fontId="3" numFmtId="0" xfId="0" applyAlignment="1" applyFont="1">
      <alignment horizontal="left" shrinkToFit="0" vertical="center" wrapText="1"/>
    </xf>
    <xf borderId="10" fillId="0" fontId="2" numFmtId="0" xfId="0" applyBorder="1" applyFont="1"/>
    <xf borderId="11" fillId="0" fontId="7" numFmtId="0" xfId="0" applyBorder="1" applyFont="1"/>
    <xf borderId="12" fillId="0" fontId="3" numFmtId="0" xfId="0" applyAlignment="1" applyBorder="1" applyFont="1">
      <alignment horizontal="left" shrinkToFit="0" vertical="center" wrapText="1"/>
    </xf>
    <xf borderId="12" fillId="0" fontId="2" numFmtId="0" xfId="0" applyBorder="1" applyFont="1"/>
    <xf borderId="13" fillId="0" fontId="2" numFmtId="0" xfId="0" applyBorder="1" applyFont="1"/>
    <xf borderId="4" fillId="6" fontId="6" numFmtId="0" xfId="0" applyAlignment="1" applyBorder="1" applyFont="1">
      <alignment horizontal="left" shrinkToFit="0" vertical="center" wrapText="1"/>
    </xf>
    <xf borderId="7" fillId="3" fontId="3" numFmtId="0" xfId="0" applyAlignment="1" applyBorder="1" applyFont="1">
      <alignment horizontal="left" shrinkToFit="0" vertical="center" wrapText="1"/>
    </xf>
    <xf borderId="14" fillId="3" fontId="8" numFmtId="0" xfId="0" applyAlignment="1" applyBorder="1" applyFont="1">
      <alignment horizontal="center" shrinkToFit="0" vertical="center" wrapText="1"/>
    </xf>
    <xf borderId="15" fillId="0" fontId="2" numFmtId="0" xfId="0" applyBorder="1" applyFont="1"/>
    <xf borderId="16" fillId="0" fontId="2" numFmtId="0" xfId="0" applyBorder="1" applyFont="1"/>
    <xf borderId="0" fillId="0" fontId="6" numFmtId="0" xfId="0" applyAlignment="1" applyFont="1">
      <alignment horizontal="left" shrinkToFit="0" vertical="center" wrapText="1"/>
    </xf>
    <xf borderId="1" fillId="4" fontId="4" numFmtId="0" xfId="0" applyAlignment="1" applyBorder="1" applyFont="1">
      <alignment horizontal="left" shrinkToFit="0" vertical="center" wrapText="1"/>
    </xf>
    <xf borderId="4" fillId="5" fontId="6" numFmtId="0" xfId="0" applyAlignment="1" applyBorder="1" applyFont="1">
      <alignment horizontal="left" shrinkToFit="0" vertical="center" wrapText="1"/>
    </xf>
    <xf borderId="0" fillId="0" fontId="3" numFmtId="0" xfId="0" applyAlignment="1" applyFont="1">
      <alignment horizontal="left" shrinkToFit="0" vertical="top" wrapText="1"/>
    </xf>
    <xf borderId="12" fillId="0" fontId="3" numFmtId="0" xfId="0" applyAlignment="1" applyBorder="1" applyFont="1">
      <alignment horizontal="left" shrinkToFit="0" vertical="top" wrapText="1"/>
    </xf>
    <xf borderId="17" fillId="4" fontId="4" numFmtId="0" xfId="0" applyAlignment="1" applyBorder="1" applyFont="1">
      <alignment horizontal="left" shrinkToFit="0" vertical="center" wrapText="1"/>
    </xf>
    <xf borderId="18" fillId="0" fontId="2" numFmtId="0" xfId="0" applyBorder="1" applyFont="1"/>
    <xf borderId="19" fillId="5" fontId="6" numFmtId="0" xfId="0" applyAlignment="1" applyBorder="1" applyFont="1">
      <alignment horizontal="center" shrinkToFit="0" vertical="center" wrapText="1"/>
    </xf>
    <xf borderId="19" fillId="3" fontId="3" numFmtId="0" xfId="0" applyAlignment="1" applyBorder="1" applyFont="1">
      <alignment horizontal="center" shrinkToFit="0" vertical="center" wrapText="1"/>
    </xf>
    <xf borderId="19" fillId="0" fontId="7" numFmtId="0" xfId="0" applyAlignment="1" applyBorder="1" applyFont="1">
      <alignment horizontal="center" vertical="center"/>
    </xf>
    <xf borderId="19" fillId="3" fontId="3" numFmtId="0" xfId="0" applyAlignment="1" applyBorder="1" applyFont="1">
      <alignment horizontal="center" readingOrder="0" shrinkToFit="0" vertical="center" wrapText="1"/>
    </xf>
    <xf borderId="20" fillId="3" fontId="3" numFmtId="0" xfId="0" applyAlignment="1" applyBorder="1" applyFont="1">
      <alignment horizontal="center" shrinkToFit="0" vertical="center" wrapText="1"/>
    </xf>
    <xf borderId="21" fillId="4" fontId="4" numFmtId="0" xfId="0" applyAlignment="1" applyBorder="1" applyFont="1">
      <alignment horizontal="left" shrinkToFit="0" vertical="center" wrapText="1"/>
    </xf>
    <xf borderId="22" fillId="0" fontId="2" numFmtId="0" xfId="0" applyBorder="1" applyFont="1"/>
    <xf borderId="23" fillId="3" fontId="3" numFmtId="0" xfId="0" applyAlignment="1" applyBorder="1" applyFont="1">
      <alignment horizontal="center" shrinkToFit="0" vertical="center" wrapText="1"/>
    </xf>
    <xf borderId="19" fillId="4" fontId="4" numFmtId="0" xfId="0" applyAlignment="1" applyBorder="1" applyFont="1">
      <alignment shrinkToFit="0" vertical="center" wrapText="1"/>
    </xf>
    <xf borderId="19" fillId="4" fontId="4" numFmtId="0" xfId="0" applyAlignment="1" applyBorder="1" applyFont="1">
      <alignment horizontal="center" shrinkToFit="0" vertical="center" wrapText="1"/>
    </xf>
    <xf borderId="19" fillId="0" fontId="7" numFmtId="0" xfId="0" applyBorder="1" applyFont="1"/>
    <xf borderId="19" fillId="0" fontId="7" numFmtId="0" xfId="0" applyAlignment="1" applyBorder="1" applyFont="1">
      <alignment horizontal="center"/>
    </xf>
    <xf borderId="21" fillId="7" fontId="9" numFmtId="0" xfId="0" applyAlignment="1" applyBorder="1" applyFill="1" applyFont="1">
      <alignment horizontal="center" shrinkToFit="0" vertical="center" wrapText="1"/>
    </xf>
    <xf borderId="24" fillId="0" fontId="2" numFmtId="0" xfId="0" applyBorder="1" applyFont="1"/>
    <xf borderId="19" fillId="0" fontId="10" numFmtId="0" xfId="0" applyAlignment="1" applyBorder="1" applyFont="1">
      <alignment horizontal="left" shrinkToFit="0" vertical="center" wrapText="1"/>
    </xf>
    <xf borderId="19" fillId="0" fontId="7" numFmtId="0" xfId="0" applyAlignment="1" applyBorder="1" applyFont="1">
      <alignment readingOrder="0" shrinkToFit="0" vertical="center" wrapText="1"/>
    </xf>
    <xf borderId="19" fillId="0" fontId="7" numFmtId="0" xfId="0" applyAlignment="1" applyBorder="1" applyFont="1">
      <alignment shrinkToFit="0" vertical="center" wrapText="1"/>
    </xf>
    <xf borderId="21" fillId="8" fontId="11" numFmtId="0" xfId="0" applyAlignment="1" applyBorder="1" applyFill="1" applyFont="1">
      <alignment horizontal="center" shrinkToFit="0" vertical="center" wrapText="1"/>
    </xf>
    <xf borderId="19" fillId="7" fontId="10" numFmtId="0" xfId="0" applyAlignment="1" applyBorder="1" applyFont="1">
      <alignment horizontal="center" shrinkToFit="0" vertical="center" wrapText="1"/>
    </xf>
    <xf borderId="19" fillId="0" fontId="7" numFmtId="0" xfId="0" applyAlignment="1" applyBorder="1" applyFont="1">
      <alignment horizontal="left" shrinkToFit="0" vertical="center" wrapText="1"/>
    </xf>
    <xf borderId="19" fillId="0" fontId="7" numFmtId="0" xfId="0" applyAlignment="1" applyBorder="1" applyFont="1">
      <alignment horizontal="center" shrinkToFit="0" vertical="center" wrapText="1"/>
    </xf>
    <xf borderId="19" fillId="0" fontId="7" numFmtId="0" xfId="0" applyAlignment="1" applyBorder="1" applyFont="1">
      <alignment horizontal="center" readingOrder="0" shrinkToFit="0" vertical="center" wrapText="1"/>
    </xf>
    <xf borderId="19" fillId="9" fontId="10" numFmtId="0" xfId="0" applyAlignment="1" applyBorder="1" applyFill="1" applyFont="1">
      <alignment horizontal="left" shrinkToFit="0" vertical="center" wrapText="1"/>
    </xf>
    <xf borderId="19" fillId="9" fontId="10" numFmtId="0" xfId="0" applyAlignment="1" applyBorder="1" applyFont="1">
      <alignment horizontal="center" shrinkToFit="0" vertical="center" wrapText="1"/>
    </xf>
    <xf borderId="19" fillId="10" fontId="10" numFmtId="0" xfId="0" applyAlignment="1" applyBorder="1" applyFill="1" applyFont="1">
      <alignment horizontal="center" shrinkToFit="0" vertical="center" wrapText="1"/>
    </xf>
    <xf borderId="21" fillId="0" fontId="10" numFmtId="0" xfId="0" applyAlignment="1" applyBorder="1" applyFont="1">
      <alignment horizontal="left"/>
    </xf>
    <xf borderId="19" fillId="11" fontId="10" numFmtId="0" xfId="0" applyAlignment="1" applyBorder="1" applyFill="1" applyFont="1">
      <alignment horizontal="center"/>
    </xf>
    <xf borderId="21" fillId="5" fontId="6" numFmtId="0" xfId="0" applyAlignment="1" applyBorder="1" applyFont="1">
      <alignment horizontal="center" shrinkToFit="0" vertical="center" wrapText="1"/>
    </xf>
    <xf borderId="19" fillId="0" fontId="3" numFmtId="0" xfId="0" applyAlignment="1" applyBorder="1" applyFont="1">
      <alignment horizontal="left" shrinkToFit="0" vertical="center" wrapText="1"/>
    </xf>
    <xf borderId="21" fillId="0" fontId="3" numFmtId="0" xfId="0" applyAlignment="1" applyBorder="1" applyFont="1">
      <alignment horizontal="center" readingOrder="0" shrinkToFit="0" vertical="center" wrapText="1"/>
    </xf>
    <xf borderId="21" fillId="0" fontId="6" numFmtId="0" xfId="0" applyAlignment="1" applyBorder="1" applyFont="1">
      <alignment horizontal="left" shrinkToFit="0" vertical="center" wrapText="1"/>
    </xf>
    <xf borderId="21" fillId="0" fontId="3" numFmtId="2" xfId="0" applyAlignment="1" applyBorder="1" applyFont="1" applyNumberFormat="1">
      <alignment horizontal="center" shrinkToFit="0" vertical="center" wrapText="1"/>
    </xf>
    <xf borderId="0" fillId="0" fontId="3" numFmtId="2" xfId="0" applyAlignment="1" applyFont="1" applyNumberFormat="1">
      <alignment horizontal="center" shrinkToFit="0" vertical="center" wrapText="1"/>
    </xf>
    <xf borderId="7" fillId="8" fontId="11" numFmtId="0" xfId="0" applyAlignment="1" applyBorder="1" applyFont="1">
      <alignment horizontal="center" shrinkToFit="0" vertical="center" wrapText="1"/>
    </xf>
    <xf borderId="21" fillId="0" fontId="10" numFmtId="0" xfId="0" applyAlignment="1" applyBorder="1" applyFont="1">
      <alignment horizontal="left" vertical="center"/>
    </xf>
    <xf borderId="21" fillId="0" fontId="10" numFmtId="0" xfId="0" applyAlignment="1" applyBorder="1" applyFont="1">
      <alignment horizontal="center" vertical="center"/>
    </xf>
    <xf borderId="25" fillId="0" fontId="10" numFmtId="0" xfId="0" applyAlignment="1" applyBorder="1" applyFont="1">
      <alignment horizontal="center"/>
    </xf>
    <xf borderId="25" fillId="0" fontId="2" numFmtId="0" xfId="0" applyBorder="1" applyFont="1"/>
    <xf borderId="21" fillId="12" fontId="12" numFmtId="0" xfId="0" applyAlignment="1" applyBorder="1" applyFill="1" applyFont="1">
      <alignment horizontal="center" shrinkToFit="0" vertical="center" wrapText="1"/>
    </xf>
    <xf borderId="19" fillId="13" fontId="10" numFmtId="0" xfId="0" applyAlignment="1" applyBorder="1" applyFill="1" applyFont="1">
      <alignment horizontal="center" shrinkToFit="0" vertical="center" wrapText="1"/>
    </xf>
    <xf borderId="21" fillId="13" fontId="10" numFmtId="0" xfId="0" applyAlignment="1" applyBorder="1" applyFont="1">
      <alignment horizontal="center" shrinkToFit="0" vertical="center" wrapText="1"/>
    </xf>
    <xf borderId="19" fillId="14" fontId="7" numFmtId="0" xfId="0" applyAlignment="1" applyBorder="1" applyFill="1" applyFont="1">
      <alignment horizontal="center" shrinkToFit="0" vertical="center" wrapText="1"/>
    </xf>
    <xf borderId="21" fillId="14" fontId="7" numFmtId="0" xfId="0" applyAlignment="1" applyBorder="1" applyFont="1">
      <alignment horizontal="left" shrinkToFit="0" vertical="center" wrapText="1"/>
    </xf>
    <xf borderId="1" fillId="2" fontId="5" numFmtId="0" xfId="0" applyAlignment="1" applyBorder="1" applyFont="1">
      <alignment horizontal="center" vertical="center"/>
    </xf>
    <xf borderId="0" fillId="0" fontId="13" numFmtId="0" xfId="0" applyAlignment="1" applyFont="1">
      <alignment horizontal="left" shrinkToFit="0" vertical="center" wrapText="1"/>
    </xf>
    <xf borderId="1" fillId="4" fontId="14" numFmtId="0" xfId="0" applyAlignment="1" applyBorder="1" applyFont="1">
      <alignment horizontal="left" shrinkToFit="0" vertical="center" wrapText="1"/>
    </xf>
    <xf borderId="26" fillId="5" fontId="6" numFmtId="0" xfId="0" applyAlignment="1" applyBorder="1" applyFont="1">
      <alignment horizontal="center" shrinkToFit="0" vertical="center" wrapText="1"/>
    </xf>
    <xf borderId="26" fillId="6" fontId="6" numFmtId="0" xfId="0" applyAlignment="1" applyBorder="1" applyFont="1">
      <alignment horizontal="left" shrinkToFit="0" vertical="center" wrapText="1"/>
    </xf>
    <xf borderId="26" fillId="0" fontId="3" numFmtId="0" xfId="0" applyAlignment="1" applyBorder="1" applyFont="1">
      <alignment horizontal="left" shrinkToFit="0" vertical="top" wrapText="1"/>
    </xf>
    <xf borderId="27" fillId="4" fontId="14" numFmtId="0" xfId="0" applyAlignment="1" applyBorder="1" applyFont="1">
      <alignment horizontal="left" shrinkToFit="0" vertical="center" wrapText="1"/>
    </xf>
    <xf borderId="28" fillId="0" fontId="2" numFmtId="0" xfId="0" applyBorder="1" applyFont="1"/>
    <xf borderId="29" fillId="0" fontId="2" numFmtId="0" xfId="0" applyBorder="1" applyFont="1"/>
    <xf borderId="0" fillId="0" fontId="7" numFmtId="0" xfId="0" applyAlignment="1" applyFont="1">
      <alignment horizontal="left" shrinkToFit="0" vertical="top" wrapText="1"/>
    </xf>
    <xf borderId="0" fillId="0" fontId="9" numFmtId="0" xfId="0" applyAlignment="1" applyFont="1">
      <alignment horizontal="center" shrinkToFit="0" vertical="center" wrapText="1"/>
    </xf>
    <xf borderId="0" fillId="0" fontId="7" numFmtId="0" xfId="0" applyAlignment="1" applyFont="1">
      <alignment horizontal="left" shrinkToFit="0" vertical="center" wrapText="1"/>
    </xf>
    <xf borderId="30" fillId="13" fontId="10" numFmtId="0" xfId="0" applyAlignment="1" applyBorder="1" applyFont="1">
      <alignment horizontal="center" shrinkToFit="0" vertical="center" wrapText="1"/>
    </xf>
    <xf borderId="20" fillId="5" fontId="6" numFmtId="0" xfId="0" applyAlignment="1" applyBorder="1" applyFont="1">
      <alignment horizontal="center" shrinkToFit="0" vertical="center" wrapText="1"/>
    </xf>
    <xf borderId="30" fillId="0" fontId="7" numFmtId="0" xfId="0" applyAlignment="1" applyBorder="1" applyFont="1">
      <alignment horizontal="center" shrinkToFit="0" vertical="center" wrapText="1"/>
    </xf>
    <xf borderId="30" fillId="0" fontId="7" numFmtId="0" xfId="0" applyAlignment="1" applyBorder="1" applyFont="1">
      <alignment horizontal="left" shrinkToFit="0" vertical="center" wrapText="1"/>
    </xf>
    <xf borderId="0" fillId="0" fontId="7" numFmtId="2" xfId="0" applyFont="1" applyNumberFormat="1"/>
  </cellXfs>
  <cellStyles count="1">
    <cellStyle xfId="0" name="Normal" builtinId="0"/>
  </cellStyles>
  <dxfs count="11">
    <dxf>
      <font/>
      <fill>
        <patternFill patternType="solid">
          <fgColor rgb="FFFEE2E2"/>
          <bgColor rgb="FFFEE2E2"/>
        </patternFill>
      </fill>
      <border/>
    </dxf>
    <dxf>
      <font/>
      <fill>
        <patternFill patternType="solid">
          <fgColor rgb="FFFFEDD5"/>
          <bgColor rgb="FFFFEDD5"/>
        </patternFill>
      </fill>
      <border/>
    </dxf>
    <dxf>
      <font/>
      <fill>
        <patternFill patternType="solid">
          <fgColor rgb="FFFEF9C3"/>
          <bgColor rgb="FFFEF9C3"/>
        </patternFill>
      </fill>
      <border/>
    </dxf>
    <dxf>
      <font/>
      <fill>
        <patternFill patternType="solid">
          <fgColor rgb="FFDCFCE7"/>
          <bgColor rgb="FFDCFCE7"/>
        </patternFill>
      </fill>
      <border/>
    </dxf>
    <dxf>
      <font/>
      <fill>
        <patternFill patternType="solid">
          <fgColor rgb="FFBBF7D0"/>
          <bgColor rgb="FFBBF7D0"/>
        </patternFill>
      </fill>
      <border/>
    </dxf>
    <dxf>
      <font/>
      <fill>
        <patternFill patternType="solid">
          <fgColor rgb="FF92D050"/>
          <bgColor rgb="FF92D050"/>
        </patternFill>
      </fill>
      <border/>
    </dxf>
    <dxf>
      <font/>
      <fill>
        <patternFill patternType="solid">
          <fgColor rgb="FFFF0000"/>
          <bgColor rgb="FFFF0000"/>
        </patternFill>
      </fill>
      <border/>
    </dxf>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4">
    <tableStyle count="3" pivot="0" name="MÔ TẢ - PHỤ LỤC-style">
      <tableStyleElement dxfId="8" type="headerRow"/>
      <tableStyleElement dxfId="9" type="firstRowStripe"/>
      <tableStyleElement dxfId="10" type="secondRowStripe"/>
    </tableStyle>
    <tableStyle count="3" pivot="0" name="MÔ TẢ - PHỤ LỤC-style 2">
      <tableStyleElement dxfId="8" type="headerRow"/>
      <tableStyleElement dxfId="9" type="firstRowStripe"/>
      <tableStyleElement dxfId="10" type="secondRowStripe"/>
    </tableStyle>
    <tableStyle count="3" pivot="0" name="MÔ TẢ - PHỤ LỤC-style 3">
      <tableStyleElement dxfId="8" type="headerRow"/>
      <tableStyleElement dxfId="9" type="firstRowStripe"/>
      <tableStyleElement dxfId="10" type="secondRowStripe"/>
    </tableStyle>
    <tableStyle count="3" pivot="0" name="MÔ TẢ - PHỤ LỤC-style 4">
      <tableStyleElement dxfId="8" type="headerRow"/>
      <tableStyleElement dxfId="9" type="firstRowStripe"/>
      <tableStyleElement dxfId="10"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5:D9" displayName="Table_1" name="Table_1" id="1">
  <tableColumns count="4">
    <tableColumn name="Nhóm năng lực" id="1"/>
    <tableColumn name="Cấp độ 1" id="2"/>
    <tableColumn name="Cấp độ 2" id="3"/>
    <tableColumn name="Cấp độ 3" id="4"/>
  </tableColumns>
  <tableStyleInfo name="MÔ TẢ - PHỤ LỤC-style" showColumnStripes="0" showFirstColumn="1" showLastColumn="1" showRowStripes="1"/>
</table>
</file>

<file path=xl/tables/table2.xml><?xml version="1.0" encoding="utf-8"?>
<table xmlns="http://schemas.openxmlformats.org/spreadsheetml/2006/main" ref="A12:D16" displayName="Table_2" name="Table_2" id="2">
  <tableColumns count="4">
    <tableColumn name="Nhóm năng lực" id="1"/>
    <tableColumn name="Cấp độ 1" id="2"/>
    <tableColumn name="Cấp độ 2" id="3"/>
    <tableColumn name="Cấp độ 3" id="4"/>
  </tableColumns>
  <tableStyleInfo name="MÔ TẢ - PHỤ LỤC-style 2" showColumnStripes="0" showFirstColumn="1" showLastColumn="1" showRowStripes="1"/>
</table>
</file>

<file path=xl/tables/table3.xml><?xml version="1.0" encoding="utf-8"?>
<table xmlns="http://schemas.openxmlformats.org/spreadsheetml/2006/main" ref="A19:D23" displayName="Table_3" name="Table_3" id="3">
  <tableColumns count="4">
    <tableColumn name="Nhóm năng lực" id="1"/>
    <tableColumn name="Cấp độ 1" id="2"/>
    <tableColumn name="Cấp độ 2" id="3"/>
    <tableColumn name="Cấp độ 3" id="4"/>
  </tableColumns>
  <tableStyleInfo name="MÔ TẢ - PHỤ LỤC-style 3" showColumnStripes="0" showFirstColumn="1" showLastColumn="1" showRowStripes="1"/>
</table>
</file>

<file path=xl/tables/table4.xml><?xml version="1.0" encoding="utf-8"?>
<table xmlns="http://schemas.openxmlformats.org/spreadsheetml/2006/main" ref="A26:E30" displayName="Table_4" name="Table_4" id="4">
  <tableColumns count="5">
    <tableColumn name="Nhóm năng lực" id="1"/>
    <tableColumn name="Cấp độ 1" id="2"/>
    <tableColumn name="Cấp độ 2" id="3"/>
    <tableColumn name="Cấp độ 3" id="4"/>
    <tableColumn name="Cấp độ 4" id="5"/>
  </tableColumns>
  <tableStyleInfo name="MÔ TẢ - PHỤ LỤC-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20.0"/>
    <col customWidth="1" min="6" max="26" width="8.71"/>
  </cols>
  <sheetData>
    <row r="1" ht="39.75" customHeight="1">
      <c r="A1" s="1" t="s">
        <v>0</v>
      </c>
      <c r="B1" s="2"/>
      <c r="C1" s="2"/>
      <c r="D1" s="2"/>
      <c r="E1" s="3"/>
    </row>
    <row r="2" ht="14.25" customHeight="1"/>
    <row r="3" ht="79.5" customHeight="1">
      <c r="A3" s="4" t="s">
        <v>1</v>
      </c>
      <c r="B3" s="2"/>
      <c r="C3" s="2"/>
      <c r="D3" s="2"/>
      <c r="E3" s="3"/>
    </row>
    <row r="4" ht="14.25" customHeight="1"/>
    <row r="5" ht="24.75" customHeight="1">
      <c r="A5" s="5" t="s">
        <v>2</v>
      </c>
      <c r="B5" s="2"/>
      <c r="C5" s="2"/>
      <c r="D5" s="2"/>
      <c r="E5" s="3"/>
    </row>
    <row r="6" ht="60.0" customHeight="1">
      <c r="A6" s="4" t="s">
        <v>3</v>
      </c>
      <c r="B6" s="2"/>
      <c r="C6" s="2"/>
      <c r="D6" s="2"/>
      <c r="E6" s="3"/>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A1:E1"/>
    <mergeCell ref="A3:E3"/>
    <mergeCell ref="A5:E5"/>
    <mergeCell ref="A6:E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4" width="30.0"/>
    <col customWidth="1" min="5" max="5" width="19.43"/>
    <col customWidth="1" min="6" max="26" width="8.71"/>
  </cols>
  <sheetData>
    <row r="1" ht="34.5" customHeight="1">
      <c r="A1" s="6" t="s">
        <v>4</v>
      </c>
      <c r="B1" s="2"/>
      <c r="C1" s="2"/>
      <c r="D1" s="3"/>
    </row>
    <row r="2" ht="14.25" customHeight="1"/>
    <row r="3" ht="24.75" customHeight="1">
      <c r="A3" s="7" t="s">
        <v>5</v>
      </c>
      <c r="B3" s="8"/>
      <c r="C3" s="8"/>
      <c r="D3" s="9"/>
    </row>
    <row r="4" ht="19.5" customHeight="1">
      <c r="A4" s="10" t="s">
        <v>6</v>
      </c>
      <c r="B4" s="2"/>
      <c r="C4" s="2"/>
      <c r="D4" s="11"/>
    </row>
    <row r="5" ht="19.5" customHeight="1">
      <c r="A5" s="12" t="s">
        <v>7</v>
      </c>
      <c r="B5" s="2"/>
      <c r="C5" s="2"/>
      <c r="D5" s="11"/>
    </row>
    <row r="6" ht="18.0" customHeight="1">
      <c r="A6" s="13"/>
      <c r="B6" s="14" t="s">
        <v>8</v>
      </c>
      <c r="D6" s="15"/>
    </row>
    <row r="7" ht="18.0" customHeight="1">
      <c r="A7" s="13"/>
      <c r="B7" s="14" t="s">
        <v>9</v>
      </c>
      <c r="D7" s="15"/>
    </row>
    <row r="8" ht="18.0" customHeight="1">
      <c r="A8" s="13"/>
      <c r="B8" s="14" t="s">
        <v>10</v>
      </c>
      <c r="D8" s="15"/>
    </row>
    <row r="9" ht="18.0" customHeight="1">
      <c r="A9" s="16"/>
      <c r="B9" s="17" t="s">
        <v>11</v>
      </c>
      <c r="C9" s="18"/>
      <c r="D9" s="19"/>
    </row>
    <row r="10" ht="14.25" customHeight="1"/>
    <row r="11" ht="19.5" customHeight="1">
      <c r="A11" s="20" t="s">
        <v>12</v>
      </c>
      <c r="B11" s="8"/>
      <c r="C11" s="8"/>
      <c r="D11" s="9"/>
    </row>
    <row r="12" ht="18.0" customHeight="1">
      <c r="A12" s="13"/>
      <c r="B12" s="14" t="s">
        <v>13</v>
      </c>
      <c r="D12" s="15"/>
    </row>
    <row r="13" ht="18.0" customHeight="1">
      <c r="A13" s="16"/>
      <c r="B13" s="17" t="s">
        <v>14</v>
      </c>
      <c r="C13" s="18"/>
      <c r="D13" s="19"/>
    </row>
    <row r="14" ht="14.25" customHeight="1"/>
    <row r="15" ht="14.25" customHeight="1"/>
    <row r="16" ht="24.75" customHeight="1">
      <c r="A16" s="7" t="s">
        <v>15</v>
      </c>
      <c r="B16" s="8"/>
      <c r="C16" s="8"/>
      <c r="D16" s="9"/>
    </row>
    <row r="17" ht="25.5" customHeight="1">
      <c r="A17" s="21" t="s">
        <v>16</v>
      </c>
      <c r="B17" s="2"/>
      <c r="C17" s="2"/>
      <c r="D17" s="11"/>
    </row>
    <row r="18" ht="30.0" customHeight="1">
      <c r="A18" s="22" t="s">
        <v>17</v>
      </c>
      <c r="B18" s="23"/>
      <c r="C18" s="23"/>
      <c r="D18" s="24"/>
    </row>
    <row r="19" ht="19.5" customHeight="1">
      <c r="A19" s="25" t="s">
        <v>18</v>
      </c>
    </row>
    <row r="20" ht="18.0" customHeight="1">
      <c r="A20" s="14" t="s">
        <v>19</v>
      </c>
    </row>
    <row r="21" ht="18.0" customHeight="1">
      <c r="A21" s="14" t="s">
        <v>20</v>
      </c>
    </row>
    <row r="22" ht="18.0" customHeight="1">
      <c r="A22" s="14" t="s">
        <v>21</v>
      </c>
    </row>
    <row r="23" ht="14.25" customHeight="1"/>
    <row r="24" ht="24.75" customHeight="1">
      <c r="A24" s="26" t="s">
        <v>22</v>
      </c>
      <c r="B24" s="2"/>
      <c r="C24" s="2"/>
      <c r="D24" s="3"/>
    </row>
    <row r="25" ht="19.5" customHeight="1">
      <c r="A25" s="27" t="s">
        <v>23</v>
      </c>
      <c r="B25" s="8"/>
      <c r="C25" s="8"/>
      <c r="D25" s="9"/>
    </row>
    <row r="26" ht="19.5" customHeight="1">
      <c r="A26" s="13"/>
      <c r="B26" s="28" t="s">
        <v>24</v>
      </c>
      <c r="D26" s="15"/>
    </row>
    <row r="27" ht="19.5" customHeight="1">
      <c r="A27" s="13"/>
      <c r="B27" s="28" t="s">
        <v>25</v>
      </c>
      <c r="D27" s="15"/>
    </row>
    <row r="28" ht="19.5" customHeight="1">
      <c r="A28" s="16"/>
      <c r="B28" s="29" t="s">
        <v>26</v>
      </c>
      <c r="C28" s="18"/>
      <c r="D28" s="19"/>
    </row>
    <row r="29" ht="14.25" customHeight="1"/>
    <row r="30" ht="19.5" customHeight="1">
      <c r="A30" s="27" t="s">
        <v>27</v>
      </c>
      <c r="B30" s="8"/>
      <c r="C30" s="8"/>
      <c r="D30" s="9"/>
    </row>
    <row r="31" ht="33.75" customHeight="1">
      <c r="A31" s="16"/>
      <c r="B31" s="29" t="s">
        <v>28</v>
      </c>
      <c r="C31" s="18"/>
      <c r="D31" s="19"/>
    </row>
    <row r="32" ht="14.25" customHeight="1"/>
    <row r="33" ht="19.5" customHeight="1">
      <c r="A33" s="27" t="s">
        <v>29</v>
      </c>
      <c r="B33" s="8"/>
      <c r="C33" s="8"/>
      <c r="D33" s="9"/>
    </row>
    <row r="34" ht="19.5" customHeight="1">
      <c r="A34" s="13"/>
      <c r="B34" s="28" t="s">
        <v>30</v>
      </c>
      <c r="D34" s="15"/>
    </row>
    <row r="35" ht="19.5" customHeight="1">
      <c r="A35" s="16"/>
      <c r="B35" s="29" t="s">
        <v>31</v>
      </c>
      <c r="C35" s="18"/>
      <c r="D35" s="19"/>
    </row>
    <row r="36" ht="19.5" customHeight="1">
      <c r="B36" s="28"/>
    </row>
    <row r="37" ht="19.5" customHeight="1">
      <c r="A37" s="30" t="s">
        <v>32</v>
      </c>
      <c r="B37" s="23"/>
      <c r="C37" s="23"/>
      <c r="D37" s="23"/>
      <c r="E37" s="31"/>
    </row>
    <row r="38" ht="19.5" customHeight="1">
      <c r="A38" s="32" t="s">
        <v>33</v>
      </c>
      <c r="B38" s="32" t="s">
        <v>34</v>
      </c>
      <c r="C38" s="32" t="s">
        <v>35</v>
      </c>
      <c r="D38" s="32" t="s">
        <v>36</v>
      </c>
      <c r="E38" s="32" t="s">
        <v>37</v>
      </c>
    </row>
    <row r="39" ht="19.5" customHeight="1">
      <c r="A39" s="33" t="s">
        <v>38</v>
      </c>
      <c r="B39" s="33">
        <v>30.0</v>
      </c>
      <c r="C39" s="34">
        <v>25.0</v>
      </c>
      <c r="D39" s="34">
        <v>15.0</v>
      </c>
      <c r="E39" s="34">
        <v>30.0</v>
      </c>
    </row>
    <row r="40" ht="14.25" customHeight="1">
      <c r="A40" s="33" t="s">
        <v>39</v>
      </c>
      <c r="B40" s="33">
        <v>35.0</v>
      </c>
      <c r="C40" s="34">
        <v>25.0</v>
      </c>
      <c r="D40" s="34">
        <v>15.0</v>
      </c>
      <c r="E40" s="34">
        <v>25.0</v>
      </c>
    </row>
    <row r="41" ht="14.25" customHeight="1">
      <c r="A41" s="33" t="s">
        <v>40</v>
      </c>
      <c r="B41" s="35">
        <v>30.0</v>
      </c>
      <c r="C41" s="34">
        <v>25.0</v>
      </c>
      <c r="D41" s="34">
        <v>10.0</v>
      </c>
      <c r="E41" s="34">
        <v>35.0</v>
      </c>
    </row>
    <row r="42" ht="14.25" customHeight="1">
      <c r="A42" s="33" t="s">
        <v>41</v>
      </c>
      <c r="B42" s="33">
        <v>30.0</v>
      </c>
      <c r="C42" s="34">
        <v>30.0</v>
      </c>
      <c r="D42" s="34">
        <v>15.0</v>
      </c>
      <c r="E42" s="34">
        <v>25.0</v>
      </c>
    </row>
    <row r="43" ht="14.25" customHeight="1">
      <c r="A43" s="36"/>
      <c r="B43" s="36"/>
    </row>
    <row r="44" ht="24.75" customHeight="1">
      <c r="A44" s="37" t="s">
        <v>42</v>
      </c>
      <c r="B44" s="38"/>
    </row>
    <row r="45" ht="19.5" customHeight="1">
      <c r="A45" s="32" t="s">
        <v>43</v>
      </c>
      <c r="B45" s="32" t="s">
        <v>44</v>
      </c>
    </row>
    <row r="46" ht="19.5" customHeight="1">
      <c r="A46" s="33" t="s">
        <v>45</v>
      </c>
      <c r="B46" s="33" t="s">
        <v>46</v>
      </c>
    </row>
    <row r="47" ht="19.5" customHeight="1">
      <c r="A47" s="33" t="s">
        <v>47</v>
      </c>
      <c r="B47" s="33" t="s">
        <v>48</v>
      </c>
    </row>
    <row r="48" ht="19.5" customHeight="1">
      <c r="A48" s="33" t="s">
        <v>49</v>
      </c>
      <c r="B48" s="33" t="s">
        <v>50</v>
      </c>
    </row>
    <row r="49" ht="19.5" customHeight="1">
      <c r="A49" s="39"/>
      <c r="B49" s="39"/>
    </row>
    <row r="50" ht="21.0" customHeight="1">
      <c r="A50" s="40" t="s">
        <v>51</v>
      </c>
      <c r="B50" s="41" t="s">
        <v>52</v>
      </c>
    </row>
    <row r="51" ht="14.25" customHeight="1">
      <c r="A51" s="42" t="s">
        <v>53</v>
      </c>
      <c r="B51" s="43">
        <v>0.8</v>
      </c>
    </row>
    <row r="52" ht="14.25" customHeight="1">
      <c r="A52" s="42" t="s">
        <v>48</v>
      </c>
      <c r="B52" s="43">
        <v>1.0</v>
      </c>
    </row>
    <row r="53" ht="14.25" customHeight="1"/>
    <row r="54" ht="18.0" customHeight="1">
      <c r="A54" s="40" t="s">
        <v>54</v>
      </c>
      <c r="B54" s="41" t="s">
        <v>52</v>
      </c>
    </row>
    <row r="55" ht="14.25" customHeight="1">
      <c r="A55" s="42" t="s">
        <v>53</v>
      </c>
      <c r="B55" s="43">
        <v>0.8</v>
      </c>
    </row>
    <row r="56" ht="14.25" customHeight="1">
      <c r="A56" s="42" t="s">
        <v>48</v>
      </c>
      <c r="B56" s="43">
        <v>1.0</v>
      </c>
    </row>
    <row r="57" ht="14.25" customHeight="1">
      <c r="A57" s="42" t="s">
        <v>50</v>
      </c>
      <c r="B57" s="43">
        <v>1.2</v>
      </c>
    </row>
    <row r="58" ht="14.25" customHeight="1"/>
    <row r="59" ht="18.0" customHeight="1">
      <c r="A59" s="40" t="s">
        <v>55</v>
      </c>
      <c r="B59" s="41" t="s">
        <v>56</v>
      </c>
    </row>
    <row r="60" ht="14.25" customHeight="1">
      <c r="A60" s="42" t="s">
        <v>57</v>
      </c>
      <c r="B60" s="43">
        <v>0.5</v>
      </c>
    </row>
    <row r="61" ht="14.25" customHeight="1">
      <c r="A61" s="42" t="s">
        <v>58</v>
      </c>
      <c r="B61" s="43">
        <v>0.5</v>
      </c>
    </row>
    <row r="62" ht="14.25" customHeight="1"/>
    <row r="63" ht="18.0" customHeight="1">
      <c r="A63" s="40" t="s">
        <v>59</v>
      </c>
      <c r="B63" s="41" t="s">
        <v>56</v>
      </c>
    </row>
    <row r="64" ht="14.25" customHeight="1">
      <c r="A64" s="42" t="s">
        <v>60</v>
      </c>
      <c r="B64" s="43">
        <v>0.4</v>
      </c>
    </row>
    <row r="65" ht="14.25" customHeight="1">
      <c r="A65" s="42" t="s">
        <v>61</v>
      </c>
      <c r="B65" s="43">
        <v>0.35</v>
      </c>
    </row>
    <row r="66" ht="14.25" customHeight="1">
      <c r="A66" s="42" t="s">
        <v>62</v>
      </c>
      <c r="B66" s="43">
        <v>0.25</v>
      </c>
    </row>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0">
    <mergeCell ref="A1:D1"/>
    <mergeCell ref="A3:D3"/>
    <mergeCell ref="A4:D4"/>
    <mergeCell ref="A5:D5"/>
    <mergeCell ref="B6:D6"/>
    <mergeCell ref="B7:D7"/>
    <mergeCell ref="B8:D8"/>
    <mergeCell ref="B9:D9"/>
    <mergeCell ref="A11:D11"/>
    <mergeCell ref="B12:D12"/>
    <mergeCell ref="B13:D13"/>
    <mergeCell ref="A16:D16"/>
    <mergeCell ref="A17:D17"/>
    <mergeCell ref="A18:D18"/>
    <mergeCell ref="A19:D19"/>
    <mergeCell ref="A20:D20"/>
    <mergeCell ref="A21:D21"/>
    <mergeCell ref="A22:D22"/>
    <mergeCell ref="A24:D24"/>
    <mergeCell ref="A25:D25"/>
    <mergeCell ref="B26:D26"/>
    <mergeCell ref="A37:E37"/>
    <mergeCell ref="A44:B44"/>
    <mergeCell ref="B27:D27"/>
    <mergeCell ref="B28:D28"/>
    <mergeCell ref="A30:D30"/>
    <mergeCell ref="B31:D31"/>
    <mergeCell ref="A33:D33"/>
    <mergeCell ref="B34:D34"/>
    <mergeCell ref="B35:D35"/>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14"/>
    <col customWidth="1" min="2" max="2" width="21.43"/>
    <col customWidth="1" min="3" max="3" width="15.29"/>
    <col customWidth="1" min="4" max="4" width="25.43"/>
    <col customWidth="1" min="5" max="26" width="8.71"/>
  </cols>
  <sheetData>
    <row r="1" ht="14.25" customHeight="1">
      <c r="A1" s="44" t="s">
        <v>63</v>
      </c>
      <c r="B1" s="45"/>
      <c r="C1" s="45"/>
      <c r="D1" s="38"/>
    </row>
    <row r="2" ht="14.25" customHeight="1"/>
    <row r="3" ht="19.5" customHeight="1">
      <c r="A3" s="46" t="s">
        <v>64</v>
      </c>
      <c r="B3" s="47" t="s">
        <v>65</v>
      </c>
      <c r="C3" s="46" t="s">
        <v>66</v>
      </c>
      <c r="D3" s="42"/>
    </row>
    <row r="4" ht="19.5" customHeight="1">
      <c r="A4" s="46" t="s">
        <v>33</v>
      </c>
      <c r="B4" s="48" t="str">
        <f>IF(VLOOKUP(B3,'NHÂN SỰ'!A:B,2,0)=0,"",VLOOKUP(B3,'NHÂN SỰ'!A:B,2,0))</f>
        <v>Frontend</v>
      </c>
      <c r="C4" s="46" t="s">
        <v>67</v>
      </c>
      <c r="D4" s="42"/>
    </row>
    <row r="5" ht="14.25" customHeight="1"/>
    <row r="6" ht="18.0" customHeight="1">
      <c r="A6" s="49" t="s">
        <v>68</v>
      </c>
      <c r="B6" s="45"/>
      <c r="C6" s="45"/>
      <c r="D6" s="38"/>
    </row>
    <row r="7" ht="14.25" customHeight="1">
      <c r="A7" s="50" t="s">
        <v>69</v>
      </c>
      <c r="B7" s="50" t="s">
        <v>70</v>
      </c>
      <c r="C7" s="50" t="s">
        <v>71</v>
      </c>
      <c r="D7" s="50" t="s">
        <v>52</v>
      </c>
    </row>
    <row r="8" ht="14.25" customHeight="1">
      <c r="A8" s="51" t="s">
        <v>72</v>
      </c>
      <c r="B8" s="52">
        <f t="array" ref="B8">IF(B4="",0,INDEX('CẤU TRÚC &amp; TRỌNG SỐ'!B$39:B$42, MATCH(TRIM(B$4), 'CẤU TRÚC &amp; TRỌNG SỐ'!A$39:A$42, 0)))</f>
        <v>30</v>
      </c>
      <c r="C8" s="53" t="s">
        <v>48</v>
      </c>
      <c r="D8" s="52">
        <f>IF(C8="","", B8*VLOOKUP(TRIM(UPPER(C8)), 'CẤU TRÚC &amp; TRỌNG SỐ'!A$51:B$52, 2, FALSE)/100)</f>
        <v>0.3</v>
      </c>
    </row>
    <row r="9" ht="14.25" customHeight="1">
      <c r="A9" s="51" t="s">
        <v>73</v>
      </c>
      <c r="B9" s="52">
        <f t="array" ref="B9">IF(B4="",0,INDEX('CẤU TRÚC &amp; TRỌNG SỐ'!C$39:C$42, MATCH(TRIM(B$4), 'CẤU TRÚC &amp; TRỌNG SỐ'!A$39:A$42, 0)))</f>
        <v>25</v>
      </c>
      <c r="C9" s="53" t="s">
        <v>48</v>
      </c>
      <c r="D9" s="52">
        <f>IF(C9="","", B9*VLOOKUP(TRIM(UPPER(C9)), 'CẤU TRÚC &amp; TRỌNG SỐ'!A$51:B$52, 2, FALSE)/100)</f>
        <v>0.25</v>
      </c>
    </row>
    <row r="10" ht="28.5" customHeight="1">
      <c r="A10" s="51" t="s">
        <v>74</v>
      </c>
      <c r="B10" s="52">
        <f t="array" ref="B10">IF(B4="",0,INDEX('CẤU TRÚC &amp; TRỌNG SỐ'!D$39:D$42, MATCH(TRIM(B$4), 'CẤU TRÚC &amp; TRỌNG SỐ'!A$39:A$42, 0)))</f>
        <v>10</v>
      </c>
      <c r="C10" s="53" t="s">
        <v>48</v>
      </c>
      <c r="D10" s="52">
        <f>IF(C10="","", B10*VLOOKUP(TRIM(UPPER(C10)), 'CẤU TRÚC &amp; TRỌNG SỐ'!A$51:B$52, 2, FALSE)/100)</f>
        <v>0.1</v>
      </c>
    </row>
    <row r="11" ht="28.5" customHeight="1">
      <c r="A11" s="51" t="s">
        <v>75</v>
      </c>
      <c r="B11" s="52">
        <f t="array" ref="B11">IF(B4="",0,INDEX('CẤU TRÚC &amp; TRỌNG SỐ'!E$39:E$42, MATCH(TRIM(B$4), 'CẤU TRÚC &amp; TRỌNG SỐ'!A$39:A$42, 0)))</f>
        <v>35</v>
      </c>
      <c r="C11" s="53" t="s">
        <v>48</v>
      </c>
      <c r="D11" s="52">
        <f>IF(C11="","", B11*VLOOKUP(TRIM(UPPER(C11)), 'CẤU TRÚC &amp; TRỌNG SỐ'!A$51:B$52, 2, FALSE)/100)</f>
        <v>0.35</v>
      </c>
    </row>
    <row r="12" ht="14.25" customHeight="1">
      <c r="A12" s="54" t="s">
        <v>76</v>
      </c>
      <c r="B12" s="55">
        <f>SUM(B8:B11)</f>
        <v>100</v>
      </c>
      <c r="C12" s="56"/>
      <c r="D12" s="56">
        <f>IF(OR(D8="", D9="", D10="", D11=""), "", SUM(D8:D11))</f>
        <v>1</v>
      </c>
    </row>
    <row r="13" ht="14.25" customHeight="1">
      <c r="A13" s="57" t="s">
        <v>77</v>
      </c>
      <c r="B13" s="45"/>
      <c r="C13" s="38"/>
      <c r="D13" s="58" t="str">
        <f>IF(D12="","", IF(SUM(D8:D11)&gt;0.8,"ĐẠT","CHƯA ĐẠT"))</f>
        <v>ĐẠT</v>
      </c>
    </row>
    <row r="14" ht="18.0" customHeight="1"/>
    <row r="15" ht="18.0" customHeight="1">
      <c r="A15" s="49" t="s">
        <v>78</v>
      </c>
      <c r="B15" s="45"/>
      <c r="C15" s="45"/>
      <c r="D15" s="38"/>
    </row>
    <row r="16" ht="33.0" customHeight="1">
      <c r="A16" s="32" t="s">
        <v>79</v>
      </c>
      <c r="B16" s="32" t="s">
        <v>80</v>
      </c>
      <c r="C16" s="59" t="s">
        <v>81</v>
      </c>
      <c r="D16" s="38"/>
    </row>
    <row r="17" ht="42.75" customHeight="1">
      <c r="A17" s="60" t="s">
        <v>82</v>
      </c>
      <c r="B17" s="60" t="s">
        <v>83</v>
      </c>
      <c r="C17" s="61" t="s">
        <v>48</v>
      </c>
      <c r="D17" s="38"/>
    </row>
    <row r="18" ht="42.75" customHeight="1">
      <c r="A18" s="60" t="s">
        <v>84</v>
      </c>
      <c r="B18" s="60" t="s">
        <v>85</v>
      </c>
      <c r="C18" s="61" t="s">
        <v>48</v>
      </c>
      <c r="D18" s="38"/>
    </row>
    <row r="19" ht="42.75" customHeight="1">
      <c r="A19" s="60" t="s">
        <v>86</v>
      </c>
      <c r="B19" s="60" t="s">
        <v>87</v>
      </c>
      <c r="C19" s="61" t="s">
        <v>48</v>
      </c>
      <c r="D19" s="38"/>
    </row>
    <row r="20" ht="24.0" customHeight="1">
      <c r="A20" s="62" t="s">
        <v>88</v>
      </c>
      <c r="B20" s="38"/>
      <c r="C20" s="63">
        <f>IF(COUNTA(C17:C19)=0,"",
 IFERROR(VLOOKUP(C17,'CẤU TRÚC &amp; TRỌNG SỐ'!A$55:B$57,2,0),0)*'CẤU TRÚC &amp; TRỌNG SỐ'!B64
+IFERROR(VLOOKUP(C18,'CẤU TRÚC &amp; TRỌNG SỐ'!A$55:B$57,2,0),0)*'CẤU TRÚC &amp; TRỌNG SỐ'!B65
+IFERROR(VLOOKUP(C19,'CẤU TRÚC &amp; TRỌNG SỐ'!A$55:B$57,2,0),0)*'CẤU TRÚC &amp; TRỌNG SỐ'!B66)</f>
        <v>1</v>
      </c>
      <c r="D20" s="38"/>
    </row>
    <row r="21" ht="24.75" customHeight="1">
      <c r="A21" s="25"/>
      <c r="B21" s="25"/>
      <c r="C21" s="64"/>
      <c r="D21" s="64"/>
    </row>
    <row r="22" ht="14.25" customHeight="1">
      <c r="A22" s="65" t="s">
        <v>89</v>
      </c>
      <c r="B22" s="2"/>
      <c r="C22" s="2"/>
      <c r="D22" s="3"/>
    </row>
    <row r="23" ht="24.0" customHeight="1">
      <c r="A23" s="62" t="s">
        <v>88</v>
      </c>
      <c r="B23" s="38"/>
      <c r="C23" s="63">
        <f>IF(OR(D12="",C20=""),"",D12*'CẤU TRÚC &amp; TRỌNG SỐ'!B60+C20*'CẤU TRÚC &amp; TRỌNG SỐ'!B61)</f>
        <v>1</v>
      </c>
      <c r="D23" s="38"/>
    </row>
    <row r="24" ht="24.0" customHeight="1">
      <c r="A24" s="66" t="s">
        <v>90</v>
      </c>
      <c r="B24" s="38"/>
      <c r="C24" s="67" t="str">
        <f>IF(C23="","KHÔNG CÓ",
   IF(ROUND(C23,2)&lt;1,"CHƯA ĐẠT",
      IF(ROUND(C23,2)=1,"ĐẠT","TỐT")
   )
)</f>
        <v>ĐẠT</v>
      </c>
      <c r="D24" s="38"/>
    </row>
    <row r="25" ht="18.0" customHeight="1">
      <c r="A25" s="68"/>
      <c r="B25" s="69"/>
      <c r="C25" s="69"/>
      <c r="D25" s="69"/>
    </row>
    <row r="26" ht="14.25" customHeight="1">
      <c r="A26" s="70" t="s">
        <v>91</v>
      </c>
      <c r="B26" s="45"/>
      <c r="C26" s="45"/>
      <c r="D26" s="38"/>
    </row>
    <row r="27" ht="14.25" customHeight="1">
      <c r="A27" s="71" t="s">
        <v>92</v>
      </c>
      <c r="B27" s="72" t="s">
        <v>80</v>
      </c>
      <c r="C27" s="45"/>
      <c r="D27" s="38"/>
    </row>
    <row r="28" ht="33.75" customHeight="1">
      <c r="A28" s="73" t="s">
        <v>93</v>
      </c>
      <c r="B28" s="74" t="s">
        <v>94</v>
      </c>
      <c r="C28" s="45"/>
      <c r="D28" s="38"/>
    </row>
    <row r="29" ht="33.75" customHeight="1">
      <c r="A29" s="73" t="s">
        <v>95</v>
      </c>
      <c r="B29" s="74" t="s">
        <v>96</v>
      </c>
      <c r="C29" s="45"/>
      <c r="D29" s="38"/>
    </row>
    <row r="30" ht="33.75" customHeight="1">
      <c r="A30" s="73" t="s">
        <v>97</v>
      </c>
      <c r="B30" s="74" t="s">
        <v>98</v>
      </c>
      <c r="C30" s="45"/>
      <c r="D30" s="38"/>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1">
    <mergeCell ref="A1:D1"/>
    <mergeCell ref="A6:D6"/>
    <mergeCell ref="A13:C13"/>
    <mergeCell ref="A15:D15"/>
    <mergeCell ref="C16:D16"/>
    <mergeCell ref="C17:D17"/>
    <mergeCell ref="C18:D18"/>
    <mergeCell ref="C24:D24"/>
    <mergeCell ref="A25:D25"/>
    <mergeCell ref="A26:D26"/>
    <mergeCell ref="B27:D27"/>
    <mergeCell ref="B28:D28"/>
    <mergeCell ref="B29:D29"/>
    <mergeCell ref="B30:D30"/>
    <mergeCell ref="C19:D19"/>
    <mergeCell ref="A20:B20"/>
    <mergeCell ref="C20:D20"/>
    <mergeCell ref="A22:D22"/>
    <mergeCell ref="A23:B23"/>
    <mergeCell ref="C23:D23"/>
    <mergeCell ref="A24:B24"/>
  </mergeCells>
  <conditionalFormatting sqref="C8:C11">
    <cfRule type="cellIs" dxfId="0" priority="1" operator="equal">
      <formula>1</formula>
    </cfRule>
  </conditionalFormatting>
  <conditionalFormatting sqref="C8:C11">
    <cfRule type="cellIs" dxfId="1" priority="2" operator="equal">
      <formula>2</formula>
    </cfRule>
  </conditionalFormatting>
  <conditionalFormatting sqref="C8:C11">
    <cfRule type="cellIs" dxfId="2" priority="3" operator="equal">
      <formula>3</formula>
    </cfRule>
  </conditionalFormatting>
  <conditionalFormatting sqref="C8:C11">
    <cfRule type="cellIs" dxfId="3" priority="4" operator="equal">
      <formula>4</formula>
    </cfRule>
  </conditionalFormatting>
  <conditionalFormatting sqref="C8:C11">
    <cfRule type="cellIs" dxfId="4" priority="5" operator="equal">
      <formula>5</formula>
    </cfRule>
  </conditionalFormatting>
  <conditionalFormatting sqref="C24">
    <cfRule type="containsText" dxfId="5" priority="6" operator="containsText" text="TỐT">
      <formula>NOT(ISERROR(SEARCH(("TỐT"),(C24))))</formula>
    </cfRule>
  </conditionalFormatting>
  <conditionalFormatting sqref="C24">
    <cfRule type="beginsWith" dxfId="3" priority="7" operator="beginsWith" text="ĐẠT">
      <formula>LEFT((C24),LEN("ĐẠT"))=("ĐẠT")</formula>
    </cfRule>
  </conditionalFormatting>
  <conditionalFormatting sqref="C24">
    <cfRule type="containsText" dxfId="6" priority="8" operator="containsText" text="CHƯA">
      <formula>NOT(ISERROR(SEARCH(("CHƯA"),(C24))))</formula>
    </cfRule>
  </conditionalFormatting>
  <conditionalFormatting sqref="D13">
    <cfRule type="containsText" dxfId="6" priority="9" operator="containsText" text="CHƯA Đạt">
      <formula>NOT(ISERROR(SEARCH(("CHƯA Đạt"),(D13))))</formula>
    </cfRule>
  </conditionalFormatting>
  <conditionalFormatting sqref="D13">
    <cfRule type="containsText" dxfId="3" priority="10" operator="containsText" text="ĐẠT">
      <formula>NOT(ISERROR(SEARCH(("ĐẠT"),(D13))))</formula>
    </cfRule>
  </conditionalFormatting>
  <dataValidations>
    <dataValidation type="list" allowBlank="1" showErrorMessage="1" sqref="B3">
      <formula1>'NHÂN SỰ'!$A$2:$A$6</formula1>
    </dataValidation>
    <dataValidation type="list" allowBlank="1" sqref="C17:C19">
      <formula1>"Chưa Đạt,Đạt,Tốt"</formula1>
    </dataValidation>
    <dataValidation type="list" allowBlank="1" sqref="C8:C11">
      <formula1>"Chưa Đạt,Đạt"</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ySplit="3.0" topLeftCell="A4" activePane="bottomLeft" state="frozen"/>
      <selection activeCell="B5" sqref="B5" pane="bottomLeft"/>
    </sheetView>
  </sheetViews>
  <sheetFormatPr customHeight="1" defaultColWidth="14.43" defaultRowHeight="15.0" outlineLevelRow="1"/>
  <cols>
    <col customWidth="1" min="1" max="1" width="22.0"/>
    <col customWidth="1" min="2" max="4" width="50.0"/>
    <col customWidth="1" min="5" max="5" width="38.71"/>
    <col customWidth="1" min="6" max="26" width="8.71"/>
  </cols>
  <sheetData>
    <row r="1" ht="30.0" customHeight="1">
      <c r="A1" s="75" t="s">
        <v>99</v>
      </c>
      <c r="B1" s="2"/>
      <c r="C1" s="2"/>
      <c r="D1" s="3"/>
    </row>
    <row r="2" ht="36.0" customHeight="1">
      <c r="A2" s="76" t="s">
        <v>100</v>
      </c>
    </row>
    <row r="3" ht="14.25" customHeight="1"/>
    <row r="4" ht="21.75" customHeight="1" collapsed="1">
      <c r="A4" s="77" t="s">
        <v>39</v>
      </c>
      <c r="B4" s="2"/>
      <c r="C4" s="2"/>
      <c r="D4" s="3"/>
    </row>
    <row r="5" ht="19.5" hidden="1" customHeight="1" outlineLevel="1">
      <c r="A5" s="78" t="s">
        <v>69</v>
      </c>
      <c r="B5" s="78" t="s">
        <v>101</v>
      </c>
      <c r="C5" s="78" t="s">
        <v>102</v>
      </c>
      <c r="D5" s="78" t="s">
        <v>103</v>
      </c>
    </row>
    <row r="6" ht="79.5" hidden="1" customHeight="1" outlineLevel="1">
      <c r="A6" s="79" t="s">
        <v>72</v>
      </c>
      <c r="B6" s="80" t="s">
        <v>104</v>
      </c>
      <c r="C6" s="80" t="s">
        <v>105</v>
      </c>
      <c r="D6" s="80" t="s">
        <v>106</v>
      </c>
    </row>
    <row r="7" ht="79.5" hidden="1" customHeight="1" outlineLevel="1">
      <c r="A7" s="79" t="s">
        <v>73</v>
      </c>
      <c r="B7" s="80" t="s">
        <v>107</v>
      </c>
      <c r="C7" s="80" t="s">
        <v>108</v>
      </c>
      <c r="D7" s="80" t="s">
        <v>109</v>
      </c>
    </row>
    <row r="8" ht="79.5" hidden="1" customHeight="1" outlineLevel="1">
      <c r="A8" s="79" t="s">
        <v>110</v>
      </c>
      <c r="B8" s="80" t="s">
        <v>111</v>
      </c>
      <c r="C8" s="80" t="s">
        <v>112</v>
      </c>
      <c r="D8" s="80" t="s">
        <v>113</v>
      </c>
    </row>
    <row r="9" ht="79.5" hidden="1" customHeight="1" outlineLevel="1">
      <c r="A9" s="79" t="s">
        <v>114</v>
      </c>
      <c r="B9" s="80" t="s">
        <v>115</v>
      </c>
      <c r="C9" s="80" t="s">
        <v>116</v>
      </c>
      <c r="D9" s="80" t="s">
        <v>117</v>
      </c>
    </row>
    <row r="10" ht="14.25" customHeight="1"/>
    <row r="11" ht="21.75" customHeight="1" collapsed="1">
      <c r="A11" s="77" t="s">
        <v>38</v>
      </c>
      <c r="B11" s="2"/>
      <c r="C11" s="2"/>
      <c r="D11" s="3"/>
    </row>
    <row r="12" ht="19.5" hidden="1" customHeight="1" outlineLevel="1">
      <c r="A12" s="78" t="s">
        <v>69</v>
      </c>
      <c r="B12" s="78" t="s">
        <v>101</v>
      </c>
      <c r="C12" s="78" t="s">
        <v>102</v>
      </c>
      <c r="D12" s="78" t="s">
        <v>103</v>
      </c>
    </row>
    <row r="13" ht="79.5" hidden="1" customHeight="1" outlineLevel="1">
      <c r="A13" s="79" t="s">
        <v>72</v>
      </c>
      <c r="B13" s="80" t="s">
        <v>118</v>
      </c>
      <c r="C13" s="80" t="s">
        <v>119</v>
      </c>
      <c r="D13" s="80" t="s">
        <v>120</v>
      </c>
    </row>
    <row r="14" ht="79.5" hidden="1" customHeight="1" outlineLevel="1">
      <c r="A14" s="79" t="s">
        <v>73</v>
      </c>
      <c r="B14" s="80" t="s">
        <v>121</v>
      </c>
      <c r="C14" s="80" t="s">
        <v>122</v>
      </c>
      <c r="D14" s="80" t="s">
        <v>123</v>
      </c>
    </row>
    <row r="15" ht="79.5" hidden="1" customHeight="1" outlineLevel="1">
      <c r="A15" s="79" t="s">
        <v>110</v>
      </c>
      <c r="B15" s="80" t="s">
        <v>124</v>
      </c>
      <c r="C15" s="80" t="s">
        <v>125</v>
      </c>
      <c r="D15" s="80" t="s">
        <v>126</v>
      </c>
    </row>
    <row r="16" ht="79.5" hidden="1" customHeight="1" outlineLevel="1">
      <c r="A16" s="79" t="s">
        <v>114</v>
      </c>
      <c r="B16" s="80" t="s">
        <v>127</v>
      </c>
      <c r="C16" s="80" t="s">
        <v>128</v>
      </c>
      <c r="D16" s="80" t="s">
        <v>129</v>
      </c>
    </row>
    <row r="17" ht="14.25" customHeight="1"/>
    <row r="18" ht="21.75" customHeight="1" collapsed="1">
      <c r="A18" s="77" t="s">
        <v>130</v>
      </c>
      <c r="B18" s="2"/>
      <c r="C18" s="2"/>
      <c r="D18" s="3"/>
    </row>
    <row r="19" ht="19.5" hidden="1" customHeight="1" outlineLevel="1">
      <c r="A19" s="78" t="s">
        <v>69</v>
      </c>
      <c r="B19" s="78" t="s">
        <v>101</v>
      </c>
      <c r="C19" s="78" t="s">
        <v>102</v>
      </c>
      <c r="D19" s="78" t="s">
        <v>103</v>
      </c>
    </row>
    <row r="20" ht="79.5" hidden="1" customHeight="1" outlineLevel="1">
      <c r="A20" s="79" t="s">
        <v>72</v>
      </c>
      <c r="B20" s="80" t="s">
        <v>131</v>
      </c>
      <c r="C20" s="80" t="s">
        <v>132</v>
      </c>
      <c r="D20" s="80" t="s">
        <v>133</v>
      </c>
    </row>
    <row r="21" ht="79.5" hidden="1" customHeight="1" outlineLevel="1">
      <c r="A21" s="79" t="s">
        <v>73</v>
      </c>
      <c r="B21" s="80" t="s">
        <v>134</v>
      </c>
      <c r="C21" s="80" t="s">
        <v>135</v>
      </c>
      <c r="D21" s="80" t="s">
        <v>136</v>
      </c>
    </row>
    <row r="22" ht="79.5" hidden="1" customHeight="1" outlineLevel="1">
      <c r="A22" s="79" t="s">
        <v>110</v>
      </c>
      <c r="B22" s="80" t="s">
        <v>137</v>
      </c>
      <c r="C22" s="80" t="s">
        <v>138</v>
      </c>
      <c r="D22" s="80" t="s">
        <v>139</v>
      </c>
    </row>
    <row r="23" ht="79.5" hidden="1" customHeight="1" outlineLevel="1">
      <c r="A23" s="79" t="s">
        <v>114</v>
      </c>
      <c r="B23" s="80" t="s">
        <v>140</v>
      </c>
      <c r="C23" s="80" t="s">
        <v>141</v>
      </c>
      <c r="D23" s="80" t="s">
        <v>142</v>
      </c>
    </row>
    <row r="24" ht="14.25" customHeight="1"/>
    <row r="25" ht="21.75" customHeight="1" collapsed="1">
      <c r="A25" s="81" t="s">
        <v>143</v>
      </c>
      <c r="B25" s="82"/>
      <c r="C25" s="82"/>
      <c r="D25" s="82"/>
      <c r="E25" s="83"/>
    </row>
    <row r="26" ht="19.5" hidden="1" customHeight="1" outlineLevel="1">
      <c r="A26" s="78" t="s">
        <v>69</v>
      </c>
      <c r="B26" s="78" t="s">
        <v>101</v>
      </c>
      <c r="C26" s="78" t="s">
        <v>102</v>
      </c>
      <c r="D26" s="78" t="s">
        <v>103</v>
      </c>
      <c r="E26" s="78" t="s">
        <v>144</v>
      </c>
    </row>
    <row r="27" ht="79.5" hidden="1" customHeight="1" outlineLevel="1">
      <c r="A27" s="79" t="s">
        <v>72</v>
      </c>
      <c r="B27" s="80" t="s">
        <v>145</v>
      </c>
      <c r="C27" s="80" t="s">
        <v>146</v>
      </c>
      <c r="D27" s="80" t="s">
        <v>147</v>
      </c>
      <c r="E27" s="84" t="s">
        <v>148</v>
      </c>
    </row>
    <row r="28" ht="79.5" hidden="1" customHeight="1" outlineLevel="1">
      <c r="A28" s="79" t="s">
        <v>73</v>
      </c>
      <c r="B28" s="80" t="s">
        <v>149</v>
      </c>
      <c r="C28" s="80" t="s">
        <v>150</v>
      </c>
      <c r="D28" s="80" t="s">
        <v>151</v>
      </c>
      <c r="E28" s="84" t="s">
        <v>152</v>
      </c>
    </row>
    <row r="29" ht="79.5" hidden="1" customHeight="1" outlineLevel="1">
      <c r="A29" s="79" t="s">
        <v>110</v>
      </c>
      <c r="B29" s="80" t="s">
        <v>153</v>
      </c>
      <c r="C29" s="80" t="s">
        <v>154</v>
      </c>
      <c r="D29" s="80" t="s">
        <v>155</v>
      </c>
      <c r="E29" s="84" t="s">
        <v>156</v>
      </c>
    </row>
    <row r="30" ht="79.5" hidden="1" customHeight="1" outlineLevel="1">
      <c r="A30" s="79" t="s">
        <v>114</v>
      </c>
      <c r="B30" s="80" t="s">
        <v>157</v>
      </c>
      <c r="C30" s="80" t="s">
        <v>158</v>
      </c>
      <c r="D30" s="80" t="s">
        <v>159</v>
      </c>
      <c r="E30" s="84" t="s">
        <v>160</v>
      </c>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1:D1"/>
    <mergeCell ref="A2:D2"/>
    <mergeCell ref="A4:D4"/>
    <mergeCell ref="A11:D11"/>
    <mergeCell ref="A18:D18"/>
    <mergeCell ref="A25:E25"/>
  </mergeCells>
  <printOptions/>
  <pageMargins bottom="1.0" footer="0.0" header="0.0" left="0.75" right="0.75" top="1.0"/>
  <pageSetup orientation="landscape"/>
  <drawing r:id="rId1"/>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20.57"/>
    <col customWidth="1" min="3" max="26" width="8.71"/>
  </cols>
  <sheetData>
    <row r="1" ht="14.25" customHeight="1">
      <c r="A1" s="40" t="s">
        <v>161</v>
      </c>
      <c r="B1" s="40" t="s">
        <v>162</v>
      </c>
    </row>
    <row r="2" ht="14.25" customHeight="1">
      <c r="A2" s="42" t="s">
        <v>163</v>
      </c>
      <c r="B2" s="42" t="s">
        <v>41</v>
      </c>
    </row>
    <row r="3" ht="14.25" customHeight="1">
      <c r="A3" s="42" t="s">
        <v>164</v>
      </c>
      <c r="B3" s="42" t="s">
        <v>38</v>
      </c>
    </row>
    <row r="4" ht="14.25" customHeight="1">
      <c r="A4" s="42" t="s">
        <v>65</v>
      </c>
      <c r="B4" s="42" t="s">
        <v>40</v>
      </c>
    </row>
    <row r="5" ht="14.25" customHeight="1">
      <c r="A5" s="42" t="s">
        <v>165</v>
      </c>
      <c r="B5" s="42" t="s">
        <v>40</v>
      </c>
    </row>
    <row r="6" ht="14.25" customHeight="1">
      <c r="A6" s="42" t="s">
        <v>166</v>
      </c>
      <c r="B6" s="42" t="s">
        <v>40</v>
      </c>
    </row>
    <row r="7" ht="14.25" customHeight="1">
      <c r="A7" s="42" t="s">
        <v>167</v>
      </c>
      <c r="B7" s="42" t="s">
        <v>39</v>
      </c>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B2:B7">
      <formula1>'CẤU TRÚC &amp; TRỌNG SỐ'!$A$39:$A$42</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4.0"/>
    <col customWidth="1" min="3" max="3" width="22.0"/>
    <col customWidth="1" min="4" max="4" width="14.0"/>
    <col customWidth="1" min="5" max="5" width="10.0"/>
    <col customWidth="1" min="6" max="6" width="14.0"/>
    <col customWidth="1" min="7" max="7" width="8.0"/>
    <col customWidth="1" min="8" max="8" width="28.0"/>
    <col customWidth="1" min="9" max="14" width="15.0"/>
    <col customWidth="1" min="15" max="26" width="8.71"/>
  </cols>
  <sheetData>
    <row r="1" ht="27.75" customHeight="1">
      <c r="A1" s="85" t="s">
        <v>168</v>
      </c>
    </row>
    <row r="2" ht="14.25" customHeight="1"/>
    <row r="3" ht="14.25" customHeight="1">
      <c r="A3" s="86" t="s">
        <v>169</v>
      </c>
    </row>
    <row r="4" ht="14.25" customHeight="1"/>
    <row r="5" ht="28.5" customHeight="1">
      <c r="A5" s="87" t="s">
        <v>170</v>
      </c>
      <c r="B5" s="87" t="s">
        <v>64</v>
      </c>
      <c r="C5" s="87" t="s">
        <v>33</v>
      </c>
      <c r="D5" s="87" t="s">
        <v>66</v>
      </c>
      <c r="E5" s="87" t="s">
        <v>171</v>
      </c>
      <c r="F5" s="87" t="s">
        <v>44</v>
      </c>
      <c r="G5" s="87" t="s">
        <v>172</v>
      </c>
      <c r="H5" s="87" t="s">
        <v>173</v>
      </c>
      <c r="I5" s="88" t="s">
        <v>174</v>
      </c>
      <c r="J5" s="88" t="s">
        <v>175</v>
      </c>
      <c r="K5" s="88" t="s">
        <v>43</v>
      </c>
      <c r="L5" s="88" t="s">
        <v>174</v>
      </c>
      <c r="M5" s="88" t="s">
        <v>175</v>
      </c>
      <c r="N5" s="88" t="s">
        <v>43</v>
      </c>
    </row>
    <row r="6" ht="14.25" customHeight="1">
      <c r="A6" s="89">
        <v>1.0</v>
      </c>
      <c r="B6" s="90" t="s">
        <v>176</v>
      </c>
      <c r="C6" s="90" t="s">
        <v>177</v>
      </c>
      <c r="D6" s="89"/>
      <c r="E6" s="89"/>
      <c r="F6" s="89" t="str">
        <f t="shared" ref="F6:F35" si="1">IF(E6="","",IF(E6&lt;2.5,"Chưa đạt",IF(E6&lt;=3.2,"Đạt",IF(E6&lt;=4,"Tốt","Rất tốt"))))</f>
        <v/>
      </c>
      <c r="G6" s="89" t="str">
        <f t="shared" ref="G6:G35" si="2">IF(E6="","",_xludf.RANK.EQ(E6,$E$6:$E$35,0))</f>
        <v/>
      </c>
      <c r="H6" s="90"/>
      <c r="J6" s="91" t="str">
        <f>'ĐÁNH GIÁ HIỆU SUẤT P2'!#REF!</f>
        <v>#ERROR!</v>
      </c>
      <c r="K6" s="91" t="str">
        <f>'ĐÁNH GIÁ HIỆU SUẤT P2'!#REF!</f>
        <v>#ERROR!</v>
      </c>
      <c r="M6" s="91" t="str">
        <f>'ĐÁNH GIÁ HIỆU SUẤT P2'!#REF!</f>
        <v>#ERROR!</v>
      </c>
      <c r="N6" s="91" t="str">
        <f>'ĐÁNH GIÁ HIỆU SUẤT P2'!B20</f>
        <v/>
      </c>
    </row>
    <row r="7" ht="14.25" customHeight="1">
      <c r="A7" s="89">
        <v>2.0</v>
      </c>
      <c r="B7" s="90" t="s">
        <v>178</v>
      </c>
      <c r="C7" s="90" t="s">
        <v>179</v>
      </c>
      <c r="D7" s="89"/>
      <c r="E7" s="89"/>
      <c r="F7" s="89" t="str">
        <f t="shared" si="1"/>
        <v/>
      </c>
      <c r="G7" s="89" t="str">
        <f t="shared" si="2"/>
        <v/>
      </c>
      <c r="H7" s="90"/>
      <c r="J7" s="91" t="str">
        <f>'ĐÁNH GIÁ HIỆU SUẤT P2'!#REF!</f>
        <v>#ERROR!</v>
      </c>
      <c r="K7" s="91" t="str">
        <f>'ĐÁNH GIÁ HIỆU SUẤT P2'!#REF!</f>
        <v>#ERROR!</v>
      </c>
      <c r="M7" s="91" t="str">
        <f>'ĐÁNH GIÁ HIỆU SUẤT P2'!#REF!</f>
        <v>#ERROR!</v>
      </c>
      <c r="N7" s="91" t="str">
        <f>'ĐÁNH GIÁ HIỆU SUẤT P2'!B20</f>
        <v/>
      </c>
    </row>
    <row r="8" ht="14.25" customHeight="1">
      <c r="A8" s="89">
        <v>3.0</v>
      </c>
      <c r="B8" s="90" t="s">
        <v>180</v>
      </c>
      <c r="C8" s="90" t="s">
        <v>179</v>
      </c>
      <c r="D8" s="89"/>
      <c r="E8" s="89"/>
      <c r="F8" s="89" t="str">
        <f t="shared" si="1"/>
        <v/>
      </c>
      <c r="G8" s="89" t="str">
        <f t="shared" si="2"/>
        <v/>
      </c>
      <c r="H8" s="90"/>
      <c r="J8" s="91" t="str">
        <f>'ĐÁNH GIÁ HIỆU SUẤT P2'!#REF!</f>
        <v>#ERROR!</v>
      </c>
      <c r="K8" s="91" t="str">
        <f>'ĐÁNH GIÁ HIỆU SUẤT P2'!#REF!</f>
        <v>#ERROR!</v>
      </c>
      <c r="M8" s="91" t="str">
        <f>'ĐÁNH GIÁ HIỆU SUẤT P2'!#REF!</f>
        <v>#ERROR!</v>
      </c>
      <c r="N8" s="91" t="str">
        <f>'ĐÁNH GIÁ HIỆU SUẤT P2'!B20</f>
        <v/>
      </c>
    </row>
    <row r="9" ht="14.25" customHeight="1">
      <c r="A9" s="89">
        <v>4.0</v>
      </c>
      <c r="B9" s="90" t="s">
        <v>181</v>
      </c>
      <c r="C9" s="90" t="s">
        <v>179</v>
      </c>
      <c r="D9" s="89"/>
      <c r="E9" s="89"/>
      <c r="F9" s="89" t="str">
        <f t="shared" si="1"/>
        <v/>
      </c>
      <c r="G9" s="89" t="str">
        <f t="shared" si="2"/>
        <v/>
      </c>
      <c r="H9" s="90"/>
      <c r="J9" s="91" t="str">
        <f>'ĐÁNH GIÁ HIỆU SUẤT P2'!#REF!</f>
        <v>#ERROR!</v>
      </c>
      <c r="K9" s="91" t="str">
        <f>'ĐÁNH GIÁ HIỆU SUẤT P2'!#REF!</f>
        <v>#ERROR!</v>
      </c>
      <c r="M9" s="91" t="str">
        <f>'ĐÁNH GIÁ HIỆU SUẤT P2'!#REF!</f>
        <v>#ERROR!</v>
      </c>
      <c r="N9" s="91" t="str">
        <f>'ĐÁNH GIÁ HIỆU SUẤT P2'!B20</f>
        <v/>
      </c>
    </row>
    <row r="10" ht="14.25" customHeight="1">
      <c r="A10" s="89">
        <v>5.0</v>
      </c>
      <c r="B10" s="90"/>
      <c r="C10" s="90"/>
      <c r="D10" s="89"/>
      <c r="E10" s="89"/>
      <c r="F10" s="89" t="str">
        <f t="shared" si="1"/>
        <v/>
      </c>
      <c r="G10" s="89" t="str">
        <f t="shared" si="2"/>
        <v/>
      </c>
      <c r="H10" s="90"/>
      <c r="J10" s="91" t="str">
        <f>'ĐÁNH GIÁ HIỆU SUẤT P2'!#REF!</f>
        <v>#ERROR!</v>
      </c>
      <c r="K10" s="91" t="str">
        <f>'ĐÁNH GIÁ HIỆU SUẤT P2'!#REF!</f>
        <v>#ERROR!</v>
      </c>
      <c r="M10" s="91" t="str">
        <f>'ĐÁNH GIÁ HIỆU SUẤT P2'!#REF!</f>
        <v>#ERROR!</v>
      </c>
      <c r="N10" s="91" t="str">
        <f>'ĐÁNH GIÁ HIỆU SUẤT P2'!B20</f>
        <v/>
      </c>
    </row>
    <row r="11" ht="14.25" customHeight="1">
      <c r="A11" s="89">
        <v>6.0</v>
      </c>
      <c r="B11" s="90"/>
      <c r="C11" s="90"/>
      <c r="D11" s="89"/>
      <c r="E11" s="89"/>
      <c r="F11" s="89" t="str">
        <f t="shared" si="1"/>
        <v/>
      </c>
      <c r="G11" s="89" t="str">
        <f t="shared" si="2"/>
        <v/>
      </c>
      <c r="H11" s="90"/>
      <c r="J11" s="91" t="str">
        <f>'ĐÁNH GIÁ HIỆU SUẤT P2'!#REF!</f>
        <v>#ERROR!</v>
      </c>
      <c r="K11" s="91" t="str">
        <f>'ĐÁNH GIÁ HIỆU SUẤT P2'!#REF!</f>
        <v>#ERROR!</v>
      </c>
      <c r="M11" s="91" t="str">
        <f>'ĐÁNH GIÁ HIỆU SUẤT P2'!#REF!</f>
        <v>#ERROR!</v>
      </c>
      <c r="N11" s="91" t="str">
        <f>'ĐÁNH GIÁ HIỆU SUẤT P2'!B20</f>
        <v/>
      </c>
    </row>
    <row r="12" ht="14.25" customHeight="1">
      <c r="A12" s="89">
        <v>7.0</v>
      </c>
      <c r="B12" s="90"/>
      <c r="C12" s="90"/>
      <c r="D12" s="89"/>
      <c r="E12" s="89"/>
      <c r="F12" s="89" t="str">
        <f t="shared" si="1"/>
        <v/>
      </c>
      <c r="G12" s="89" t="str">
        <f t="shared" si="2"/>
        <v/>
      </c>
      <c r="H12" s="90"/>
      <c r="J12" s="91" t="str">
        <f>'ĐÁNH GIÁ HIỆU SUẤT P2'!#REF!</f>
        <v>#ERROR!</v>
      </c>
      <c r="K12" s="91" t="str">
        <f>'ĐÁNH GIÁ HIỆU SUẤT P2'!#REF!</f>
        <v>#ERROR!</v>
      </c>
      <c r="M12" s="91" t="str">
        <f>'ĐÁNH GIÁ HIỆU SUẤT P2'!#REF!</f>
        <v>#ERROR!</v>
      </c>
      <c r="N12" s="91" t="str">
        <f>'ĐÁNH GIÁ HIỆU SUẤT P2'!B20</f>
        <v/>
      </c>
    </row>
    <row r="13" ht="14.25" customHeight="1">
      <c r="A13" s="89">
        <v>8.0</v>
      </c>
      <c r="B13" s="90"/>
      <c r="C13" s="90"/>
      <c r="D13" s="89"/>
      <c r="E13" s="89"/>
      <c r="F13" s="89" t="str">
        <f t="shared" si="1"/>
        <v/>
      </c>
      <c r="G13" s="89" t="str">
        <f t="shared" si="2"/>
        <v/>
      </c>
      <c r="H13" s="90"/>
      <c r="J13" s="91" t="str">
        <f>'ĐÁNH GIÁ HIỆU SUẤT P2'!#REF!</f>
        <v>#ERROR!</v>
      </c>
      <c r="K13" s="91" t="str">
        <f>'ĐÁNH GIÁ HIỆU SUẤT P2'!#REF!</f>
        <v>#ERROR!</v>
      </c>
      <c r="M13" s="91" t="str">
        <f>'ĐÁNH GIÁ HIỆU SUẤT P2'!#REF!</f>
        <v>#ERROR!</v>
      </c>
      <c r="N13" s="91" t="str">
        <f>'ĐÁNH GIÁ HIỆU SUẤT P2'!B20</f>
        <v/>
      </c>
    </row>
    <row r="14" ht="14.25" customHeight="1">
      <c r="A14" s="89">
        <v>9.0</v>
      </c>
      <c r="B14" s="90"/>
      <c r="C14" s="90"/>
      <c r="D14" s="89"/>
      <c r="E14" s="89"/>
      <c r="F14" s="89" t="str">
        <f t="shared" si="1"/>
        <v/>
      </c>
      <c r="G14" s="89" t="str">
        <f t="shared" si="2"/>
        <v/>
      </c>
      <c r="H14" s="90"/>
      <c r="J14" s="91" t="str">
        <f>'ĐÁNH GIÁ HIỆU SUẤT P2'!#REF!</f>
        <v>#ERROR!</v>
      </c>
      <c r="K14" s="91" t="str">
        <f>'ĐÁNH GIÁ HIỆU SUẤT P2'!#REF!</f>
        <v>#ERROR!</v>
      </c>
      <c r="M14" s="91" t="str">
        <f>'ĐÁNH GIÁ HIỆU SUẤT P2'!#REF!</f>
        <v>#ERROR!</v>
      </c>
      <c r="N14" s="91" t="str">
        <f>'ĐÁNH GIÁ HIỆU SUẤT P2'!B20</f>
        <v/>
      </c>
    </row>
    <row r="15" ht="14.25" customHeight="1">
      <c r="A15" s="89">
        <v>10.0</v>
      </c>
      <c r="B15" s="90"/>
      <c r="C15" s="90"/>
      <c r="D15" s="89"/>
      <c r="E15" s="89"/>
      <c r="F15" s="89" t="str">
        <f t="shared" si="1"/>
        <v/>
      </c>
      <c r="G15" s="89" t="str">
        <f t="shared" si="2"/>
        <v/>
      </c>
      <c r="H15" s="90"/>
      <c r="J15" s="91" t="str">
        <f>'ĐÁNH GIÁ HIỆU SUẤT P2'!#REF!</f>
        <v>#ERROR!</v>
      </c>
      <c r="K15" s="91" t="str">
        <f>'ĐÁNH GIÁ HIỆU SUẤT P2'!#REF!</f>
        <v>#ERROR!</v>
      </c>
      <c r="M15" s="91" t="str">
        <f>'ĐÁNH GIÁ HIỆU SUẤT P2'!#REF!</f>
        <v>#ERROR!</v>
      </c>
      <c r="N15" s="91" t="str">
        <f>'ĐÁNH GIÁ HIỆU SUẤT P2'!B20</f>
        <v/>
      </c>
    </row>
    <row r="16" ht="14.25" customHeight="1">
      <c r="A16" s="89">
        <v>11.0</v>
      </c>
      <c r="B16" s="90"/>
      <c r="C16" s="90"/>
      <c r="D16" s="89"/>
      <c r="E16" s="89"/>
      <c r="F16" s="89" t="str">
        <f t="shared" si="1"/>
        <v/>
      </c>
      <c r="G16" s="89" t="str">
        <f t="shared" si="2"/>
        <v/>
      </c>
      <c r="H16" s="90"/>
      <c r="J16" s="91" t="str">
        <f>'ĐÁNH GIÁ HIỆU SUẤT P2'!#REF!</f>
        <v>#ERROR!</v>
      </c>
      <c r="K16" s="91" t="str">
        <f>'ĐÁNH GIÁ HIỆU SUẤT P2'!#REF!</f>
        <v>#ERROR!</v>
      </c>
      <c r="M16" s="91" t="str">
        <f>'ĐÁNH GIÁ HIỆU SUẤT P2'!#REF!</f>
        <v>#ERROR!</v>
      </c>
      <c r="N16" s="91" t="str">
        <f>'ĐÁNH GIÁ HIỆU SUẤT P2'!B20</f>
        <v/>
      </c>
    </row>
    <row r="17" ht="14.25" customHeight="1">
      <c r="A17" s="89">
        <v>12.0</v>
      </c>
      <c r="B17" s="90"/>
      <c r="C17" s="90"/>
      <c r="D17" s="89"/>
      <c r="E17" s="89"/>
      <c r="F17" s="89" t="str">
        <f t="shared" si="1"/>
        <v/>
      </c>
      <c r="G17" s="89" t="str">
        <f t="shared" si="2"/>
        <v/>
      </c>
      <c r="H17" s="90"/>
      <c r="J17" s="91" t="str">
        <f>'ĐÁNH GIÁ HIỆU SUẤT P2'!#REF!</f>
        <v>#ERROR!</v>
      </c>
      <c r="K17" s="91" t="str">
        <f>'ĐÁNH GIÁ HIỆU SUẤT P2'!#REF!</f>
        <v>#ERROR!</v>
      </c>
      <c r="M17" s="91" t="str">
        <f>'ĐÁNH GIÁ HIỆU SUẤT P2'!#REF!</f>
        <v>#ERROR!</v>
      </c>
      <c r="N17" s="91" t="str">
        <f>'ĐÁNH GIÁ HIỆU SUẤT P2'!B20</f>
        <v/>
      </c>
    </row>
    <row r="18" ht="14.25" customHeight="1">
      <c r="A18" s="89">
        <v>13.0</v>
      </c>
      <c r="B18" s="90"/>
      <c r="C18" s="90"/>
      <c r="D18" s="89"/>
      <c r="E18" s="89"/>
      <c r="F18" s="89" t="str">
        <f t="shared" si="1"/>
        <v/>
      </c>
      <c r="G18" s="89" t="str">
        <f t="shared" si="2"/>
        <v/>
      </c>
      <c r="H18" s="90"/>
      <c r="J18" s="91" t="str">
        <f>'ĐÁNH GIÁ HIỆU SUẤT P2'!#REF!</f>
        <v>#ERROR!</v>
      </c>
      <c r="K18" s="91" t="str">
        <f>'ĐÁNH GIÁ HIỆU SUẤT P2'!#REF!</f>
        <v>#ERROR!</v>
      </c>
      <c r="M18" s="91" t="str">
        <f>'ĐÁNH GIÁ HIỆU SUẤT P2'!#REF!</f>
        <v>#ERROR!</v>
      </c>
      <c r="N18" s="91" t="str">
        <f>'ĐÁNH GIÁ HIỆU SUẤT P2'!B20</f>
        <v/>
      </c>
    </row>
    <row r="19" ht="14.25" customHeight="1">
      <c r="A19" s="89">
        <v>14.0</v>
      </c>
      <c r="B19" s="90"/>
      <c r="C19" s="90"/>
      <c r="D19" s="89"/>
      <c r="E19" s="89"/>
      <c r="F19" s="89" t="str">
        <f t="shared" si="1"/>
        <v/>
      </c>
      <c r="G19" s="89" t="str">
        <f t="shared" si="2"/>
        <v/>
      </c>
      <c r="H19" s="90"/>
      <c r="J19" s="91" t="str">
        <f>'ĐÁNH GIÁ HIỆU SUẤT P2'!#REF!</f>
        <v>#ERROR!</v>
      </c>
      <c r="K19" s="91" t="str">
        <f>'ĐÁNH GIÁ HIỆU SUẤT P2'!#REF!</f>
        <v>#ERROR!</v>
      </c>
      <c r="M19" s="91" t="str">
        <f>'ĐÁNH GIÁ HIỆU SUẤT P2'!#REF!</f>
        <v>#ERROR!</v>
      </c>
      <c r="N19" s="91" t="str">
        <f>'ĐÁNH GIÁ HIỆU SUẤT P2'!B20</f>
        <v/>
      </c>
    </row>
    <row r="20" ht="14.25" customHeight="1">
      <c r="A20" s="89">
        <v>15.0</v>
      </c>
      <c r="B20" s="90"/>
      <c r="C20" s="90"/>
      <c r="D20" s="89"/>
      <c r="E20" s="89"/>
      <c r="F20" s="89" t="str">
        <f t="shared" si="1"/>
        <v/>
      </c>
      <c r="G20" s="89" t="str">
        <f t="shared" si="2"/>
        <v/>
      </c>
      <c r="H20" s="90"/>
      <c r="J20" s="91" t="str">
        <f>'ĐÁNH GIÁ HIỆU SUẤT P2'!#REF!</f>
        <v>#ERROR!</v>
      </c>
      <c r="K20" s="91" t="str">
        <f>'ĐÁNH GIÁ HIỆU SUẤT P2'!#REF!</f>
        <v>#ERROR!</v>
      </c>
      <c r="M20" s="91" t="str">
        <f>'ĐÁNH GIÁ HIỆU SUẤT P2'!#REF!</f>
        <v>#ERROR!</v>
      </c>
      <c r="N20" s="91" t="str">
        <f>'ĐÁNH GIÁ HIỆU SUẤT P2'!B20</f>
        <v/>
      </c>
    </row>
    <row r="21" ht="14.25" customHeight="1">
      <c r="A21" s="89">
        <v>16.0</v>
      </c>
      <c r="B21" s="90"/>
      <c r="C21" s="90"/>
      <c r="D21" s="89"/>
      <c r="E21" s="89"/>
      <c r="F21" s="89" t="str">
        <f t="shared" si="1"/>
        <v/>
      </c>
      <c r="G21" s="89" t="str">
        <f t="shared" si="2"/>
        <v/>
      </c>
      <c r="H21" s="90"/>
      <c r="J21" s="91" t="str">
        <f>'ĐÁNH GIÁ HIỆU SUẤT P2'!#REF!</f>
        <v>#ERROR!</v>
      </c>
      <c r="K21" s="91" t="str">
        <f>'ĐÁNH GIÁ HIỆU SUẤT P2'!#REF!</f>
        <v>#ERROR!</v>
      </c>
      <c r="M21" s="91" t="str">
        <f>'ĐÁNH GIÁ HIỆU SUẤT P2'!#REF!</f>
        <v>#ERROR!</v>
      </c>
      <c r="N21" s="91" t="str">
        <f>'ĐÁNH GIÁ HIỆU SUẤT P2'!B20</f>
        <v/>
      </c>
    </row>
    <row r="22" ht="14.25" customHeight="1">
      <c r="A22" s="89">
        <v>17.0</v>
      </c>
      <c r="B22" s="90"/>
      <c r="C22" s="90"/>
      <c r="D22" s="89"/>
      <c r="E22" s="89"/>
      <c r="F22" s="89" t="str">
        <f t="shared" si="1"/>
        <v/>
      </c>
      <c r="G22" s="89" t="str">
        <f t="shared" si="2"/>
        <v/>
      </c>
      <c r="H22" s="90"/>
      <c r="J22" s="91" t="str">
        <f>'ĐÁNH GIÁ HIỆU SUẤT P2'!#REF!</f>
        <v>#ERROR!</v>
      </c>
      <c r="K22" s="91" t="str">
        <f>'ĐÁNH GIÁ HIỆU SUẤT P2'!#REF!</f>
        <v>#ERROR!</v>
      </c>
      <c r="M22" s="91" t="str">
        <f>'ĐÁNH GIÁ HIỆU SUẤT P2'!#REF!</f>
        <v>#ERROR!</v>
      </c>
      <c r="N22" s="91" t="str">
        <f>'ĐÁNH GIÁ HIỆU SUẤT P2'!B20</f>
        <v/>
      </c>
    </row>
    <row r="23" ht="14.25" customHeight="1">
      <c r="A23" s="89">
        <v>18.0</v>
      </c>
      <c r="B23" s="90"/>
      <c r="C23" s="90"/>
      <c r="D23" s="89"/>
      <c r="E23" s="89"/>
      <c r="F23" s="89" t="str">
        <f t="shared" si="1"/>
        <v/>
      </c>
      <c r="G23" s="89" t="str">
        <f t="shared" si="2"/>
        <v/>
      </c>
      <c r="H23" s="90"/>
      <c r="J23" s="91" t="str">
        <f>'ĐÁNH GIÁ HIỆU SUẤT P2'!#REF!</f>
        <v>#ERROR!</v>
      </c>
      <c r="K23" s="91" t="str">
        <f>'ĐÁNH GIÁ HIỆU SUẤT P2'!#REF!</f>
        <v>#ERROR!</v>
      </c>
      <c r="M23" s="91" t="str">
        <f>'ĐÁNH GIÁ HIỆU SUẤT P2'!#REF!</f>
        <v>#ERROR!</v>
      </c>
      <c r="N23" s="91" t="str">
        <f>'ĐÁNH GIÁ HIỆU SUẤT P2'!B20</f>
        <v/>
      </c>
    </row>
    <row r="24" ht="14.25" customHeight="1">
      <c r="A24" s="89">
        <v>19.0</v>
      </c>
      <c r="B24" s="90"/>
      <c r="C24" s="90"/>
      <c r="D24" s="89"/>
      <c r="E24" s="89"/>
      <c r="F24" s="89" t="str">
        <f t="shared" si="1"/>
        <v/>
      </c>
      <c r="G24" s="89" t="str">
        <f t="shared" si="2"/>
        <v/>
      </c>
      <c r="H24" s="90"/>
      <c r="J24" s="91" t="str">
        <f>'ĐÁNH GIÁ HIỆU SUẤT P2'!#REF!</f>
        <v>#ERROR!</v>
      </c>
      <c r="K24" s="91" t="str">
        <f>'ĐÁNH GIÁ HIỆU SUẤT P2'!#REF!</f>
        <v>#ERROR!</v>
      </c>
      <c r="M24" s="91" t="str">
        <f>'ĐÁNH GIÁ HIỆU SUẤT P2'!#REF!</f>
        <v>#ERROR!</v>
      </c>
      <c r="N24" s="91" t="str">
        <f>'ĐÁNH GIÁ HIỆU SUẤT P2'!B20</f>
        <v/>
      </c>
    </row>
    <row r="25" ht="14.25" customHeight="1">
      <c r="A25" s="89">
        <v>20.0</v>
      </c>
      <c r="B25" s="90"/>
      <c r="C25" s="90"/>
      <c r="D25" s="89"/>
      <c r="E25" s="89"/>
      <c r="F25" s="89" t="str">
        <f t="shared" si="1"/>
        <v/>
      </c>
      <c r="G25" s="89" t="str">
        <f t="shared" si="2"/>
        <v/>
      </c>
      <c r="H25" s="90"/>
      <c r="J25" s="91" t="str">
        <f>'ĐÁNH GIÁ HIỆU SUẤT P2'!#REF!</f>
        <v>#ERROR!</v>
      </c>
      <c r="K25" s="91" t="str">
        <f>'ĐÁNH GIÁ HIỆU SUẤT P2'!#REF!</f>
        <v>#ERROR!</v>
      </c>
      <c r="M25" s="91" t="str">
        <f>'ĐÁNH GIÁ HIỆU SUẤT P2'!#REF!</f>
        <v>#ERROR!</v>
      </c>
      <c r="N25" s="91" t="str">
        <f>'ĐÁNH GIÁ HIỆU SUẤT P2'!B20</f>
        <v/>
      </c>
    </row>
    <row r="26" ht="14.25" customHeight="1">
      <c r="A26" s="89">
        <v>21.0</v>
      </c>
      <c r="B26" s="90"/>
      <c r="C26" s="90"/>
      <c r="D26" s="89"/>
      <c r="E26" s="89"/>
      <c r="F26" s="89" t="str">
        <f t="shared" si="1"/>
        <v/>
      </c>
      <c r="G26" s="89" t="str">
        <f t="shared" si="2"/>
        <v/>
      </c>
      <c r="H26" s="90"/>
      <c r="J26" s="91" t="str">
        <f>'ĐÁNH GIÁ HIỆU SUẤT P2'!#REF!</f>
        <v>#ERROR!</v>
      </c>
      <c r="K26" s="91" t="str">
        <f>'ĐÁNH GIÁ HIỆU SUẤT P2'!#REF!</f>
        <v>#ERROR!</v>
      </c>
      <c r="M26" s="91" t="str">
        <f>'ĐÁNH GIÁ HIỆU SUẤT P2'!#REF!</f>
        <v>#ERROR!</v>
      </c>
      <c r="N26" s="91" t="str">
        <f>'ĐÁNH GIÁ HIỆU SUẤT P2'!B20</f>
        <v/>
      </c>
    </row>
    <row r="27" ht="14.25" customHeight="1">
      <c r="A27" s="89">
        <v>22.0</v>
      </c>
      <c r="B27" s="90"/>
      <c r="C27" s="90"/>
      <c r="D27" s="89"/>
      <c r="E27" s="89"/>
      <c r="F27" s="89" t="str">
        <f t="shared" si="1"/>
        <v/>
      </c>
      <c r="G27" s="89" t="str">
        <f t="shared" si="2"/>
        <v/>
      </c>
      <c r="H27" s="90"/>
      <c r="J27" s="91" t="str">
        <f>'ĐÁNH GIÁ HIỆU SUẤT P2'!#REF!</f>
        <v>#ERROR!</v>
      </c>
      <c r="K27" s="91" t="str">
        <f>'ĐÁNH GIÁ HIỆU SUẤT P2'!#REF!</f>
        <v>#ERROR!</v>
      </c>
      <c r="M27" s="91" t="str">
        <f>'ĐÁNH GIÁ HIỆU SUẤT P2'!#REF!</f>
        <v>#ERROR!</v>
      </c>
      <c r="N27" s="91" t="str">
        <f>'ĐÁNH GIÁ HIỆU SUẤT P2'!B20</f>
        <v/>
      </c>
    </row>
    <row r="28" ht="14.25" customHeight="1">
      <c r="A28" s="89">
        <v>23.0</v>
      </c>
      <c r="B28" s="90"/>
      <c r="C28" s="90"/>
      <c r="D28" s="89"/>
      <c r="E28" s="89"/>
      <c r="F28" s="89" t="str">
        <f t="shared" si="1"/>
        <v/>
      </c>
      <c r="G28" s="89" t="str">
        <f t="shared" si="2"/>
        <v/>
      </c>
      <c r="H28" s="90"/>
      <c r="J28" s="91" t="str">
        <f>'ĐÁNH GIÁ HIỆU SUẤT P2'!#REF!</f>
        <v>#ERROR!</v>
      </c>
      <c r="K28" s="91" t="str">
        <f>'ĐÁNH GIÁ HIỆU SUẤT P2'!#REF!</f>
        <v>#ERROR!</v>
      </c>
      <c r="M28" s="91" t="str">
        <f>'ĐÁNH GIÁ HIỆU SUẤT P2'!#REF!</f>
        <v>#ERROR!</v>
      </c>
      <c r="N28" s="91" t="str">
        <f>'ĐÁNH GIÁ HIỆU SUẤT P2'!B20</f>
        <v/>
      </c>
    </row>
    <row r="29" ht="14.25" customHeight="1">
      <c r="A29" s="89">
        <v>24.0</v>
      </c>
      <c r="B29" s="90"/>
      <c r="C29" s="90"/>
      <c r="D29" s="89"/>
      <c r="E29" s="89"/>
      <c r="F29" s="89" t="str">
        <f t="shared" si="1"/>
        <v/>
      </c>
      <c r="G29" s="89" t="str">
        <f t="shared" si="2"/>
        <v/>
      </c>
      <c r="H29" s="90"/>
      <c r="J29" s="91" t="str">
        <f>'ĐÁNH GIÁ HIỆU SUẤT P2'!#REF!</f>
        <v>#ERROR!</v>
      </c>
      <c r="K29" s="91" t="str">
        <f>'ĐÁNH GIÁ HIỆU SUẤT P2'!#REF!</f>
        <v>#ERROR!</v>
      </c>
      <c r="M29" s="91" t="str">
        <f>'ĐÁNH GIÁ HIỆU SUẤT P2'!#REF!</f>
        <v>#ERROR!</v>
      </c>
      <c r="N29" s="91" t="str">
        <f>'ĐÁNH GIÁ HIỆU SUẤT P2'!B20</f>
        <v/>
      </c>
    </row>
    <row r="30" ht="14.25" customHeight="1">
      <c r="A30" s="89">
        <v>25.0</v>
      </c>
      <c r="B30" s="90"/>
      <c r="C30" s="90"/>
      <c r="D30" s="89"/>
      <c r="E30" s="89"/>
      <c r="F30" s="89" t="str">
        <f t="shared" si="1"/>
        <v/>
      </c>
      <c r="G30" s="89" t="str">
        <f t="shared" si="2"/>
        <v/>
      </c>
      <c r="H30" s="90"/>
      <c r="J30" s="91" t="str">
        <f>'ĐÁNH GIÁ HIỆU SUẤT P2'!#REF!</f>
        <v>#ERROR!</v>
      </c>
      <c r="K30" s="91" t="str">
        <f>'ĐÁNH GIÁ HIỆU SUẤT P2'!#REF!</f>
        <v>#ERROR!</v>
      </c>
      <c r="M30" s="91" t="str">
        <f>'ĐÁNH GIÁ HIỆU SUẤT P2'!#REF!</f>
        <v>#ERROR!</v>
      </c>
      <c r="N30" s="91" t="str">
        <f>'ĐÁNH GIÁ HIỆU SUẤT P2'!B20</f>
        <v/>
      </c>
    </row>
    <row r="31" ht="14.25" customHeight="1">
      <c r="A31" s="89">
        <v>26.0</v>
      </c>
      <c r="B31" s="90"/>
      <c r="C31" s="90"/>
      <c r="D31" s="89"/>
      <c r="E31" s="89"/>
      <c r="F31" s="89" t="str">
        <f t="shared" si="1"/>
        <v/>
      </c>
      <c r="G31" s="89" t="str">
        <f t="shared" si="2"/>
        <v/>
      </c>
      <c r="H31" s="90"/>
      <c r="J31" s="91" t="str">
        <f>'ĐÁNH GIÁ HIỆU SUẤT P2'!#REF!</f>
        <v>#ERROR!</v>
      </c>
      <c r="K31" s="91" t="str">
        <f>'ĐÁNH GIÁ HIỆU SUẤT P2'!#REF!</f>
        <v>#ERROR!</v>
      </c>
      <c r="M31" s="91" t="str">
        <f>'ĐÁNH GIÁ HIỆU SUẤT P2'!#REF!</f>
        <v>#ERROR!</v>
      </c>
      <c r="N31" s="91" t="str">
        <f>'ĐÁNH GIÁ HIỆU SUẤT P2'!B20</f>
        <v/>
      </c>
    </row>
    <row r="32" ht="14.25" customHeight="1">
      <c r="A32" s="89">
        <v>27.0</v>
      </c>
      <c r="B32" s="90"/>
      <c r="C32" s="90"/>
      <c r="D32" s="89"/>
      <c r="E32" s="89"/>
      <c r="F32" s="89" t="str">
        <f t="shared" si="1"/>
        <v/>
      </c>
      <c r="G32" s="89" t="str">
        <f t="shared" si="2"/>
        <v/>
      </c>
      <c r="H32" s="90"/>
      <c r="J32" s="91" t="str">
        <f>'ĐÁNH GIÁ HIỆU SUẤT P2'!#REF!</f>
        <v>#ERROR!</v>
      </c>
      <c r="K32" s="91" t="str">
        <f>'ĐÁNH GIÁ HIỆU SUẤT P2'!#REF!</f>
        <v>#ERROR!</v>
      </c>
      <c r="M32" s="91" t="str">
        <f>'ĐÁNH GIÁ HIỆU SUẤT P2'!#REF!</f>
        <v>#ERROR!</v>
      </c>
      <c r="N32" s="91" t="str">
        <f>'ĐÁNH GIÁ HIỆU SUẤT P2'!B20</f>
        <v/>
      </c>
    </row>
    <row r="33" ht="14.25" customHeight="1">
      <c r="A33" s="89">
        <v>28.0</v>
      </c>
      <c r="B33" s="90"/>
      <c r="C33" s="90"/>
      <c r="D33" s="89"/>
      <c r="E33" s="89"/>
      <c r="F33" s="89" t="str">
        <f t="shared" si="1"/>
        <v/>
      </c>
      <c r="G33" s="89" t="str">
        <f t="shared" si="2"/>
        <v/>
      </c>
      <c r="H33" s="90"/>
      <c r="J33" s="91" t="str">
        <f>'ĐÁNH GIÁ HIỆU SUẤT P2'!#REF!</f>
        <v>#ERROR!</v>
      </c>
      <c r="K33" s="91" t="str">
        <f>'ĐÁNH GIÁ HIỆU SUẤT P2'!#REF!</f>
        <v>#ERROR!</v>
      </c>
      <c r="M33" s="91" t="str">
        <f>'ĐÁNH GIÁ HIỆU SUẤT P2'!#REF!</f>
        <v>#ERROR!</v>
      </c>
      <c r="N33" s="91" t="str">
        <f>'ĐÁNH GIÁ HIỆU SUẤT P2'!B20</f>
        <v/>
      </c>
    </row>
    <row r="34" ht="14.25" customHeight="1">
      <c r="A34" s="89">
        <v>29.0</v>
      </c>
      <c r="B34" s="90"/>
      <c r="C34" s="90"/>
      <c r="D34" s="89"/>
      <c r="E34" s="89"/>
      <c r="F34" s="89" t="str">
        <f t="shared" si="1"/>
        <v/>
      </c>
      <c r="G34" s="89" t="str">
        <f t="shared" si="2"/>
        <v/>
      </c>
      <c r="H34" s="90"/>
      <c r="J34" s="91" t="str">
        <f>'ĐÁNH GIÁ HIỆU SUẤT P2'!#REF!</f>
        <v>#ERROR!</v>
      </c>
      <c r="K34" s="91" t="str">
        <f>'ĐÁNH GIÁ HIỆU SUẤT P2'!#REF!</f>
        <v>#ERROR!</v>
      </c>
      <c r="M34" s="91" t="str">
        <f>'ĐÁNH GIÁ HIỆU SUẤT P2'!#REF!</f>
        <v>#ERROR!</v>
      </c>
      <c r="N34" s="91" t="str">
        <f>'ĐÁNH GIÁ HIỆU SUẤT P2'!B20</f>
        <v/>
      </c>
    </row>
    <row r="35" ht="14.25" customHeight="1">
      <c r="A35" s="89">
        <v>30.0</v>
      </c>
      <c r="B35" s="90"/>
      <c r="C35" s="90"/>
      <c r="D35" s="89"/>
      <c r="E35" s="89"/>
      <c r="F35" s="89" t="str">
        <f t="shared" si="1"/>
        <v/>
      </c>
      <c r="G35" s="89" t="str">
        <f t="shared" si="2"/>
        <v/>
      </c>
      <c r="H35" s="90"/>
      <c r="J35" s="91" t="str">
        <f>'ĐÁNH GIÁ HIỆU SUẤT P2'!#REF!</f>
        <v>#ERROR!</v>
      </c>
      <c r="K35" s="91" t="str">
        <f>'ĐÁNH GIÁ HIỆU SUẤT P2'!#REF!</f>
        <v>#ERROR!</v>
      </c>
      <c r="M35" s="91" t="str">
        <f>'ĐÁNH GIÁ HIỆU SUẤT P2'!#REF!</f>
        <v>#ERROR!</v>
      </c>
      <c r="N35" s="91" t="str">
        <f>'ĐÁNH GIÁ HIỆU SUẤT P2'!B20</f>
        <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H1"/>
    <mergeCell ref="A3:H3"/>
  </mergeCells>
  <conditionalFormatting sqref="E6:E35">
    <cfRule type="cellIs" dxfId="0" priority="1" operator="lessThan">
      <formula>2.5</formula>
    </cfRule>
  </conditionalFormatting>
  <conditionalFormatting sqref="E6:E35">
    <cfRule type="cellIs" dxfId="1" priority="2" operator="between">
      <formula>2.5</formula>
      <formula>3.2</formula>
    </cfRule>
  </conditionalFormatting>
  <conditionalFormatting sqref="E6:E35">
    <cfRule type="cellIs" dxfId="2" priority="3" operator="between">
      <formula>3.3</formula>
      <formula>4</formula>
    </cfRule>
  </conditionalFormatting>
  <conditionalFormatting sqref="E6:E35">
    <cfRule type="cellIs" dxfId="3" priority="4" operator="greaterThan">
      <formula>4</formula>
    </cfRule>
  </conditionalFormatting>
  <printOptions/>
  <pageMargins bottom="0.75" footer="0.0" header="0.0" left="0.7" right="0.7" top="0.75"/>
  <pageSetup orientation="landscape"/>
  <drawing r:id="rId1"/>
</worksheet>
</file>