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ỔNG QUAN &amp; LƯU Ý" sheetId="1" state="visible" r:id="rId2"/>
    <sheet name="CẤU TRÚC &amp; TRỌNG SỐ" sheetId="2" state="visible" r:id="rId3"/>
    <sheet name="ĐÁNH GIÁ HIỆU SUẤT P2" sheetId="3" state="visible" r:id="rId4"/>
    <sheet name="MÔ TẢ - PHỤ LỤC" sheetId="4" state="visible" r:id="rId5"/>
    <sheet name="NHÂN SỰ" sheetId="5" state="visible" r:id="rId6"/>
    <sheet name="Summary_Ranking" sheetId="6"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<sst xmlns="http://schemas.openxmlformats.org/spreadsheetml/2006/main" count="246" uniqueCount="183">
  <si>
    <t xml:space="preserve">P2+ - MÔ HÌNH ĐÁNH GIÁ NĂNG LỰC MỞ RỘNG</t>
  </si>
  <si>
    <t xml:space="preserve">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</si>
  <si>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xml:space="preserve">👉 Lưu ý quan trọng:</t>
  </si>
  <si>
    <t xml:space="preserve">• Đây không phải "bỏ P3"
• Mà là biến thể có chủ đích, tích hợp OKR/KPI vào P2
• Giúp đánh giá toàn diện cả năng lực dài hạn (P2-Core) và kết quả ngắn hạn (P2-Delivery)</t>
  </si>
  <si>
    <t xml:space="preserve">CẤU TRÚC &amp; TRỌNG SỐ P2+</t>
  </si>
  <si>
    <t xml:space="preserve">I. CẤU TRÚC TỔNG THỂ P2+</t>
  </si>
  <si>
    <t xml:space="preserve">P2+ gồm 2 thành phần:</t>
  </si>
  <si>
    <t xml:space="preserve">A. P2-Core – Năng lực &amp; cách làm việc</t>
  </si>
  <si>
    <t xml:space="preserve">  • A. Năng lực kỹ thuật</t>
  </si>
  <si>
    <t xml:space="preserve">  • B. Ownership &amp; Trách nhiệm</t>
  </si>
  <si>
    <t xml:space="preserve">  • C. DevOps &amp; Vận hành</t>
  </si>
  <si>
    <t xml:space="preserve">  • D. AI Agent &amp; Cải tiến</t>
  </si>
  <si>
    <t xml:space="preserve">B. P2-Delivery – Kết quả công việc</t>
  </si>
  <si>
    <t xml:space="preserve">  • OKR/KPI tháng hoặc quý</t>
  </si>
  <si>
    <t xml:space="preserve">  • Chất lượng delivery</t>
  </si>
  <si>
    <t xml:space="preserve">II. CÁCH TÍNH ĐIỂM P2+</t>
  </si>
  <si>
    <t xml:space="preserve">P2+ là điểm đánh giá cuối cùng dùng để xếp loại năng lực.</t>
  </si>
  <si>
    <t xml:space="preserve">P2+ Tổng = (P2-Core × A) + (P2-Delivery × B)</t>
  </si>
  <si>
    <t xml:space="preserve">📌 Trong đó:</t>
  </si>
  <si>
    <t xml:space="preserve">P2-Core: phản ánh năng lực &amp; cách làm việc dài hạn</t>
  </si>
  <si>
    <t xml:space="preserve">P2-Delivery: phản ánh kết quả thực tế trong kỳ</t>
  </si>
  <si>
    <t xml:space="preserve">Trọng số A (Core) và B (Delivery): được điều chỉnh theo mục tiêu từng giai đoạn</t>
  </si>
  <si>
    <t xml:space="preserve">III. NGUYÊN TẮC ĐÁNH GIÁ (BẮT BUỘC TUÂN THỦ)</t>
  </si>
  <si>
    <t xml:space="preserve">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</si>
  <si>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</si>
  <si>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</si>
  <si>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</si>
  <si>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 xml:space="preserve">2️⃣ OKR không thay thế năng lực</t>
  </si>
  <si>
    <t xml:space="preserve">  • Nhân sự có kết quả OKR cao nhưng vi phạm chuẩn kỹ thuật, gây rủi ro hệ thống hoặc ảnh hưởng đội nhóm sẽ không được xếp loại P2+ cao.</t>
  </si>
  <si>
    <t xml:space="preserve">3️⃣ Đánh giá theo mặt bằng chung</t>
  </si>
  <si>
    <t xml:space="preserve">  • Điểm số phản ánh mức độ ổn định và phổ biến</t>
  </si>
  <si>
    <t xml:space="preserve">  • Không đánh giá theo 1–2 tình huống nổi bật</t>
  </si>
  <si>
    <t xml:space="preserve">IV. TRỌNG SỐ THEO VAI TRÒ</t>
  </si>
  <si>
    <t xml:space="preserve">Vai trò</t>
  </si>
  <si>
    <t xml:space="preserve">Năng lực kỹ thuật</t>
  </si>
  <si>
    <t xml:space="preserve">Ownership &amp; trách nhiệm</t>
  </si>
  <si>
    <t xml:space="preserve">DevOps &amp; vận hành</t>
  </si>
  <si>
    <t xml:space="preserve">AI Agent &amp; cải tiến</t>
  </si>
  <si>
    <t xml:space="preserve">Design System</t>
  </si>
  <si>
    <t xml:space="preserve">Backend</t>
  </si>
  <si>
    <t xml:space="preserve">Frontend</t>
  </si>
  <si>
    <t xml:space="preserve">Fullstack</t>
  </si>
  <si>
    <t xml:space="preserve">V. NGƯỠNG XẾP LOẠI</t>
  </si>
  <si>
    <t xml:space="preserve">P2+ Tổng</t>
  </si>
  <si>
    <t xml:space="preserve">Xếp loại</t>
  </si>
  <si>
    <t xml:space="preserve">&lt; 1</t>
  </si>
  <si>
    <t xml:space="preserve">Chưa đạt</t>
  </si>
  <si>
    <t xml:space="preserve">1</t>
  </si>
  <si>
    <t xml:space="preserve">Đạt</t>
  </si>
  <si>
    <t xml:space="preserve">&gt; 1 và ≤ 1.2</t>
  </si>
  <si>
    <t xml:space="preserve">Tốt</t>
  </si>
  <si>
    <t xml:space="preserve">Level 2 Core</t>
  </si>
  <si>
    <t xml:space="preserve">Điểm</t>
  </si>
  <si>
    <t xml:space="preserve">Chưa Đạt</t>
  </si>
  <si>
    <t xml:space="preserve">Level 2 Delivery</t>
  </si>
  <si>
    <t xml:space="preserve">A &amp; B</t>
  </si>
  <si>
    <t xml:space="preserve">Trọng số (MAX 1)</t>
  </si>
  <si>
    <t xml:space="preserve">A (Core)</t>
  </si>
  <si>
    <t xml:space="preserve">B (Delivery)</t>
  </si>
  <si>
    <t xml:space="preserve">Weight Delivery</t>
  </si>
  <si>
    <t xml:space="preserve">OKR/KPI</t>
  </si>
  <si>
    <t xml:space="preserve">Chất lượng</t>
  </si>
  <si>
    <t xml:space="preserve">Cam kết</t>
  </si>
  <si>
    <t xml:space="preserve">P2 PERFORMANCE EVALUATION</t>
  </si>
  <si>
    <t xml:space="preserve">Họ và tên</t>
  </si>
  <si>
    <t xml:space="preserve">NGUYỄN ĐĂNG ĐỨC</t>
  </si>
  <si>
    <t xml:space="preserve">Kỳ đánh giá</t>
  </si>
  <si>
    <t xml:space="preserve">Tháng 4</t>
  </si>
  <si>
    <t xml:space="preserve">Người đánh giá</t>
  </si>
  <si>
    <t xml:space="preserve">NĂNG LỰC NỀN TẢNG (P2-Core – thang điểm từ 0.8 đến 1.0)</t>
  </si>
  <si>
    <t xml:space="preserve">Nhóm năng lực</t>
  </si>
  <si>
    <t xml:space="preserve">Trọng số (%)</t>
  </si>
  <si>
    <t xml:space="preserve">Mức hiện tại</t>
  </si>
  <si>
    <t xml:space="preserve">A. Năng lực kỹ thuật</t>
  </si>
  <si>
    <t xml:space="preserve">B. Ownership &amp; trách nhiệm</t>
  </si>
  <si>
    <t xml:space="preserve">C. DevOps &amp; vận hành (bắt buộc)</t>
  </si>
  <si>
    <t xml:space="preserve">D. AI Agent &amp; cải tiến (bắt buộc)</t>
  </si>
  <si>
    <t xml:space="preserve">TỔNG</t>
  </si>
  <si>
    <t xml:space="preserve">ĐÁNH GIÁ P2-CORE</t>
  </si>
  <si>
    <t xml:space="preserve">KẾT QUẢ CÔNG VIỆC (P2-Delivery – thang điểm từ 0.8 đến 1.2)</t>
  </si>
  <si>
    <t xml:space="preserve">Tiêu chí</t>
  </si>
  <si>
    <t xml:space="preserve">Mô tả</t>
  </si>
  <si>
    <t xml:space="preserve">MỨC ĐÁNH GIÁ</t>
  </si>
  <si>
    <t xml:space="preserve">Mức độ hoàn thành OKR</t>
  </si>
  <si>
    <t xml:space="preserve">Tỷ lệ hoàn thành các mục tiêu đã cam kết trong kỳ đánh giá</t>
  </si>
  <si>
    <t xml:space="preserve">Chất lượng kết quả</t>
  </si>
  <si>
    <t xml:space="preserve">Ít lỗi nghiêm trọng; hạn chế làm lại; không gây rủi ro hệ thống</t>
  </si>
  <si>
    <t xml:space="preserve">Cam kết &amp; tiến độ</t>
  </si>
  <si>
    <t xml:space="preserve">Hoàn thành đúng hạn; chủ động báo sớm rủi ro; phối hợp tốt</t>
  </si>
  <si>
    <t xml:space="preserve">TỔNG ĐIỂM</t>
  </si>
  <si>
    <t xml:space="preserve">KẾT QUẢ HIỆU SUẤT P2</t>
  </si>
  <si>
    <t xml:space="preserve">ĐÁNH GIÁ TỔNG</t>
  </si>
  <si>
    <t xml:space="preserve">THANG ĐÁNH GIÁ CHI TIẾT (Level 1/Level 2/Level 3)</t>
  </si>
  <si>
    <t xml:space="preserve">Mức</t>
  </si>
  <si>
    <t xml:space="preserve">LEVEL 1</t>
  </si>
  <si>
    <t xml:space="preserve">Thực hiện được các phần việc rõ ràng khi có hướng dẫn; cần review thường xuyên; chất lượng chưa ổn định.</t>
  </si>
  <si>
    <t xml:space="preserve">LEVEL 2</t>
  </si>
  <si>
    <t xml:space="preserve">Tự triển khai độc lập; chất lượng ổn định, ít rework; chủ động xử lý rủi ro và cải thiện sản phẩm.</t>
  </si>
  <si>
    <t xml:space="preserve">LEVEL 3</t>
  </si>
  <si>
    <t xml:space="preserve">Extra: Không chỉ hoàn thành tốt phần việc cá nhân mà còn cải tiến sản phẩm, chuẩn hoá cách làm và lan toả kinh nghiệm cho nhóm.</t>
  </si>
  <si>
    <t xml:space="preserve">MÔ TẢ NĂNG LỰC THEO VAI TRÒ</t>
  </si>
  <si>
    <t xml:space="preserve">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</si>
  <si>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 xml:space="preserve">Cấp độ 1</t>
  </si>
  <si>
    <t xml:space="preserve">Cấp độ 2</t>
  </si>
  <si>
    <t xml:space="preserve">Cấp độ 3</t>
  </si>
  <si>
    <t xml:space="preserve">Tự triển khai tính năng (API + DB); code dễ đọc; tests cơ bản; xử lý trường hợp lỗi không mong muốn xảy ra.</t>
  </si>
  <si>
    <t xml:space="preserve">Thiết kế kiến trúc/module gọn; cải thiện performance/security; tests chắc; nâng chất lượng qua review.</t>
  </si>
  <si>
    <t xml:space="preserve">Định hướng kiến trúc hệ thống có khả năng mở rộng; chủ động ngăn ngừa rủi ro và lỗi hệ thống; dẫn dắt cải tiến kỹ thuật lớn và hỗ trợ nâng cao năng lực đội ngũ.</t>
  </si>
  <si>
    <t xml:space="preserve">Bàn giao công việc ổn định; biết tách công việc thành các đầu việc rõ ràng; chịu trách nhiệm xử lý lỗi đến khi hoàn tất; chủ động báo sớm các rủi ro phát sinh.</t>
  </si>
  <si>
    <t xml:space="preserve">Chủ động quản lý phạm vi và rủi ro công việc; phối hợp hiệu quả với các bộ phận liên quan; giảm phát sinh làm lại nhờ yêu cầu và tài liệu được chuẩn bị rõ ràng.</t>
  </si>
  <si>
    <t xml:space="preserve">Cải tiến quy trình bàn giao công việc trong đội (tiêu chí hoàn thành, danh sách rà soát); xử lý các điểm nghẽn trong phối hợp giữa các nhóm; nâng cao khả năng dự báo và kiểm soát tiến độ chung.</t>
  </si>
  <si>
    <t xml:space="preserve">C. DevOps &amp; vận hành</t>
  </si>
  <si>
    <t xml:space="preserve">Thực hiện quy trình tích hợp và triển khai tự động; hiểu và sử dụng đúng cấu hình môi trường, thông tin bảo mật; theo dõi nhật ký và lỗi hệ thống; tham gia trực xử lý sự cố khi cần.</t>
  </si>
  <si>
    <t xml:space="preserve">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</si>
  <si>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 xml:space="preserve">Chuẩn hóa quy trình phát hành và giám sát hệ thống; xây dựng hướng dẫn vận hành và xử lý sự cố; chủ trì phân tích nguyên nhân sau sự cố; hướng dẫn và nâng cao năng lực vận hành cho đội ngũ.</t>
  </si>
  <si>
    <t xml:space="preserve">D. AI Agent &amp; cải tiến</t>
  </si>
  <si>
    <t xml:space="preserve">Sử dụng AI Agent để hỗ trợ code, chỉnh sửa code, viết kiểm thử và tìm lỗi; biết đặt yêu cầu rõ ràng; luôn kiểm tra lại kết quả trước khi áp dụng.</t>
  </si>
  <si>
    <t xml:space="preserve">Xây dựng mẫu yêu cầu và quy trình làm việc có thể tái sử dụng; dùng AI để hỗ trợ rà soát và tìm lỗi; theo dõi hiệu quả bằng các chỉ số như thời gian hoàn thành và tỷ lệ lỗi phát sinh.</t>
  </si>
  <si>
    <t xml:space="preserve">Dẫn dắt việc áp dụng AI trong kỹ thuật một cách có kiểm soát; đào tạo và hướng dẫn đội ngũ; tự động hóa các công việc lặp lại theo nguyên tắc an toàn, phân quyền và tuân thủ quy định nội bộ.</t>
  </si>
  <si>
    <t xml:space="preserve">Tự xây dựng luồng trải nghiệm và đặc tả giao diện; đảm bảo tính nhất quán về hình ảnh; bàn giao thiết kế rõ ràng để đội triển khai chính xác.</t>
  </si>
  <si>
    <t xml:space="preserve">Cải thiện khả năng sử dụng dựa trên nghiên cứu và đánh giá trải nghiệm; phát triển và mở rộng hệ thống thiết kế; giảm phát sinh làm lại nhờ đặc tả thiết kế rõ ràng.</t>
  </si>
  <si>
    <t xml:space="preserve">Định hướng thiết kế tổng thể; tạo ra tác động trải nghiệm người dùng có thể đo lường; quản trị và chuẩn hóa hệ thống thiết kế; hướng dẫn và kết nối các đội cùng áp dụng.</t>
  </si>
  <si>
    <t xml:space="preserve">Bàn giao công việc ổn định; xác định rõ phạm vi; lặp lại thiết kế kịp thời; phối hợp sớm với các bên triển khai để thống nhất ràng buộc.</t>
  </si>
  <si>
    <t xml:space="preserve">Quản lý các lựa chọn và đánh đổi trong thiết kế; chuẩn bị phương án thay thế; ghi nhận rõ các quyết định; giảm phát sinh làm lại thông qua rà soát thiết kế.</t>
  </si>
  <si>
    <t xml:space="preserve">Nâng chuẩn bàn giao thiết kế (tiêu chí hoàn thành, danh sách rà soát); tháo gỡ các vướng mắc phối hợp giữa các đội; nâng cao khả năng dự báo và kiểm soát tiến độ.</t>
  </si>
  <si>
    <t xml:space="preserve">Làm việc với môi trường preview và staging; sử dụng nhất quán các thành phần và chuẩn thiết kế; xây dựng đặc tả phù hợp với khả năng triển khai.</t>
  </si>
  <si>
    <t xml:space="preserve">Thúc đẩy áp dụng chuẩn thành phần thiết kế; cải thiện tự động hóa bàn giao thiết kế–triển khai; giảm lỗi tích hợp và công việc làm lại.</t>
  </si>
  <si>
    <t xml:space="preserve">Dẫn dắt chuẩn hóa quy trình thiết kế–triển khai với đội phát triển; xây dựng hướng dẫn và các thực hành tốt cho toàn đội.</t>
  </si>
  <si>
    <t xml:space="preserve">Sử dụng AI để hỗ trợ xây dựng khung thiết kế, nội dung trải nghiệm và phương án thiết kế; biết đặt yêu cầu phù hợp; kiểm tra và đối chiếu với hệ thống thiết kế hiện có.</t>
  </si>
  <si>
    <t xml:space="preserve">Xây dựng thư viện yêu cầu AI có thể tái sử dụng; tăng tốc tổng hợp nghiên cứu; theo dõi tác động của AI đến thời gian thực hiện và mức độ làm lại.</t>
  </si>
  <si>
    <t xml:space="preserve">Dẫn dắt việc áp dụng AI trong thiết kế một cách an toàn và có kiểm soát; đào tạo đội ngũ; tự động hóa các công việc lặp lại theo quy định và chuẩn quản trị.</t>
  </si>
  <si>
    <t xml:space="preserve">FrontEnd</t>
  </si>
  <si>
    <t xml:space="preserve">Tự triển khai tính năng giao diện từ đầu đến cuối (giao diện, trạng thái, tích hợp dữ liệu); xử lý các tình huống phát sinh; viết mã rõ ràng, dễ bảo trì.</t>
  </si>
  <si>
    <t xml:space="preserve">Cải thiện hiệu năng và khả năng truy cập của giao diện; xây dựng thành phần dùng lại; nâng cao kiến trúc và kiểm thử để tăng độ ổn định.</t>
  </si>
  <si>
    <t xml:space="preserve">Định hướng kỹ thuật frontend; dẫn dắt các thay đổi lớn để giảm rủi ro; hướng dẫn đội ngũ; chủ động ngăn ngừa lỗi ảnh hưởng diện rộng trên giao diện.</t>
  </si>
  <si>
    <t xml:space="preserve">Bàn giao công việc ổn định; chịu trách nhiệm xử lý lỗi đến khi hoàn tất; phối hợp sớm với backend và thiết kế; chủ động báo rủi ro.</t>
  </si>
  <si>
    <t xml:space="preserve">Quản lý các lựa chọn và đánh đổi về trải nghiệm người dùng; giảm phát sinh làm lại; nâng chất lượng bàn giao bằng đặc tả, minh chứng và tài liệu rõ ràng.</t>
  </si>
  <si>
    <t xml:space="preserve">Nâng chuẩn bàn giao và rà soát (chuẩn thành phần, danh sách rà soát); tháo gỡ vướng mắc phối hợp giữa các đội; nâng cao khả năng dự báo và kiểm soát tiến độ.</t>
  </si>
  <si>
    <t xml:space="preserve">Sử dụng thành thạo quy trình tích hợp và triển khai; quản lý cấu hình môi trường; theo dõi lỗi phía người dùng; giữ bản phát hành gọn và ổn định.</t>
  </si>
  <si>
    <t xml:space="preserve">Cải thiện quy trình triển khai (tối ưu tốc độ, kiểm soát chất lượng); giảm kích thước và thời gian tải; có phương án quay lui khi sự cố; nâng cao độ ổn định.</t>
  </si>
  <si>
    <t xml:space="preserve">Chuẩn hóa phát hành và giám sát cho frontend; xây dựng hướng dẫn xử lý sự cố; hướng dẫn đội ngũ thực hành vận hành; giảm lỗi phía người dùng và rút ngắn thời gian khắc phục.</t>
  </si>
  <si>
    <t xml:space="preserve">Sử dụng AI để hỗ trợ tạo khung code, chỉnh sửa code, viết kiểm thử và tìm lỗi; biết đặt yêu cầu rõ ràng; luôn kiểm tra lại trước khi áp dụng.</t>
  </si>
  <si>
    <t xml:space="preserve">Xây dựng mẫu yêu cầu AI có thể tái sử dụng (thành phần, khả năng truy cập, kiểm thử); dùng AI hỗ trợ rà soát và cải tiến mã; theo dõi hiệu quả bằng các chỉ số phù hợp.</t>
  </si>
  <si>
    <t xml:space="preserve">Dẫn dắt việc áp dụng AI trong frontend theo quy chuẩn; đào tạo đội ngũ; tự động hóa các công việc lặp lại một cách an toàn và có kiểm soát.</t>
  </si>
  <si>
    <t xml:space="preserve">FullStack</t>
  </si>
  <si>
    <t xml:space="preserve">Cấp độ 4</t>
  </si>
  <si>
    <t xml:space="preserve">Tự triển khai tính năng từ đầu đến cuối (giao diện, xử lý dữ liệu, lưu trữ); đảm bảo chất lượng cơ bản; viết kiểm thử cần thiết; xử lý các tình huống lỗi phát sinh.</t>
  </si>
  <si>
    <t xml:space="preserve">Phân định rõ trách nhiệm giữa backend và frontend; cải thiện hiệu năng và an toàn hệ thống; thực hiện tái cấu trúc có kiểm soát; xây dựng kiểm thử vững chắc hơn.</t>
  </si>
  <si>
    <t xml:space="preserve">Định hướng kỹ thuật end-to-end; chủ động ngăn ngừa rủi ro và lỗi hệ thống; hướng dẫn đội ngũ; dẫn dắt các đợt tái cấu trúc và chuyển đổi hệ thống lớn một cách an toàn.</t>
  </si>
  <si>
    <t xml:space="preserve">Dẫn dắt định hướng kiến trúc ở cấp sản phẩm/hệ thống; xây dựng nền tảng kỹ thuật bền vững cho nhiều sản phẩm; tạo lợi thế công nghệ dài hạn và ảnh hưởng chiến lược đến tổ chức.</t>
  </si>
  <si>
    <t xml:space="preserve">Chịu trách nhiệm toàn bộ tính năng từ đầu đến cuối; đảm bảo vận hành ổn định; chủ động báo rủi ro; xử lý triệt để vấn đề đến khi hoàn tất.</t>
  </si>
  <si>
    <t xml:space="preserve">Quản lý phạm vi và rủi ro công việc; trao đổi và thống nhất các đánh đổi kỹ thuật; giảm phát sinh làm lại; cải thiện chất lượng tài liệu và bàn giao.</t>
  </si>
  <si>
    <t xml:space="preserve">Nâng cao khả năng dự báo; xây dựng và áp dụng các chuẩn chung (tiêu chí hoàn thành, danh sách rà soát); tháo gỡ vướng mắc trong phối hợp giữa các đội.</t>
  </si>
  <si>
    <t xml:space="preserve">Xây dựng hệ thống vận hành có khả năng tự kiểm soát; chủ động phòng ngừa rủi ro; mô hình quản lý trở thành chuẩn tham chiếu cho các đơn vị khác.</t>
  </si>
  <si>
    <t xml:space="preserve">Sử dụng quy trình tích hợp và triển khai tự động; quản lý cấu hình và thông tin bảo mật; theo dõi lỗi và nhật ký hệ thống; triển khai an toàn và tham gia trực xử lý sự cố.</t>
  </si>
  <si>
    <t xml:space="preserve">Cải thiện quy trình triển khai; bổ sung theo dõi chỉ số và cảnh báo; có phương án quay lui khi cần; nâng cao độ ổn định trên toàn bộ hệ thống.</t>
  </si>
  <si>
    <t xml:space="preserve">Chuẩn hóa phát hành và giám sát hệ thống; xây dựng hướng dẫn vận hành và xử lý sự cố; giảm thời gian khắc phục lỗi; hướng dẫn đội ngũ thực hành vận hành hiệu quả.</t>
  </si>
  <si>
    <t xml:space="preserve">Định hướng chiến lược AI-first cho toàn bộ bộ phận; xây dựng môi trường phát triển tự động hoá cao (code/doc/test/deploy bằng AI); tối ưu chi phí nhân lực và tăng năng suất vượt trội cho tổ chức.</t>
  </si>
  <si>
    <t xml:space="preserve">Sử dụng AI hỗ trợ toàn bộ chuỗi phát triển (tạo khung, chỉnh sửa code, kiểm thử, tìm lỗi); biết đặt yêu cầu phù hợp; luôn rà soát kỹ kết quả trước khi áp dụng.</t>
  </si>
  <si>
    <t xml:space="preserve">Xây dựng mẫu yêu cầu và quy trình làm việc với AI có thể tái sử dụng; dùng AI hỗ trợ rà soát và tìm lỗi; theo dõi tác động đến thời gian thực hiện và chất lượng.</t>
  </si>
  <si>
    <t xml:space="preserve">Dẫn dắt việc áp dụng AI trong phát triển end-to-end một cách an toàn và có kiểm soát; đào tạo đội ngũ; tự động hóa các công việc xuyên suốt theo chuẩn quản trị.</t>
  </si>
  <si>
    <t xml:space="preserve">Xây dựng đội ngũ tự chủ và kế thừa; phát triển năng lực tổng thể của bộ phận Công Nghệ; tạo văn hoá học tập, cải tiến liên tục và lan toả ảnh hưởng ra toàn công ty.</t>
  </si>
  <si>
    <t xml:space="preserve">NHÂN SỰ</t>
  </si>
  <si>
    <t xml:space="preserve">VAI TRÒ</t>
  </si>
  <si>
    <t xml:space="preserve">TRỊNH QUỐC HOÀN ĐẠT</t>
  </si>
  <si>
    <t xml:space="preserve">BÙI VĂN HỔ</t>
  </si>
  <si>
    <t xml:space="preserve">ĐINH TIẾN CHƯƠNG</t>
  </si>
  <si>
    <t xml:space="preserve">TRẦN CÔNG TUẤN ANH</t>
  </si>
  <si>
    <t xml:space="preserve">NGUYỄN HUY HOÀNG</t>
  </si>
  <si>
    <t xml:space="preserve">P2 SUMMARY &amp; RANKING – BP CÔNG NGHỆ</t>
  </si>
  <si>
    <t xml:space="preserve">Nhập dữ liệu đánh giá của nhiều nhân sự để tự động xếp hạng. Cột 'Điểm P2' có thể nhập tay hoặc liên kết từ sheet role.</t>
  </si>
  <si>
    <t xml:space="preserve">STT</t>
  </si>
  <si>
    <t xml:space="preserve">Điểm P2</t>
  </si>
  <si>
    <t xml:space="preserve">Rank</t>
  </si>
  <si>
    <t xml:space="preserve">Ghi chú</t>
  </si>
  <si>
    <t xml:space="preserve">P2-Core</t>
  </si>
  <si>
    <t xml:space="preserve">OKR (P2-Delivery)</t>
  </si>
  <si>
    <t xml:space="preserve">Bùi Văn Hổ</t>
  </si>
  <si>
    <t xml:space="preserve">Designer, Frontend</t>
  </si>
  <si>
    <t xml:space="preserve">Nguyễn Huy Hoàng</t>
  </si>
  <si>
    <t xml:space="preserve">Backend, Frontend</t>
  </si>
  <si>
    <t xml:space="preserve">Đinh Tiến Chương</t>
  </si>
  <si>
    <t xml:space="preserve">Nguyễn Đăng Đức</t>
  </si>
</sst>
</file>

<file path=xl/styles.xml><?xml version="1.0" encoding="utf-8"?>
<styleSheet xmlns="http://schemas.openxmlformats.org/spreadsheetml/2006/main">
  <numFmts count="3">
    <numFmt numFmtId="164" formatCode="General"/>
    <numFmt numFmtId="165" formatCode="General"/>
    <numFmt numFmtId="166" formatCode="0.00"/>
  </numFmts>
  <fonts count="19">
    <font>
      <sz val="11"/>
      <color rgb="FF000000"/>
      <name val="Calibri"/>
      <family val="2"/>
      <charset val="1"/>
    </font>
    <font>
      <sz val="10"/>
      <name val="Arial"/>
      <family val="0"/>
    </font>
    <font>
      <sz val="10"/>
      <name val="Arial"/>
      <family val="0"/>
    </font>
    <font>
      <sz val="10"/>
      <name val="Arial"/>
      <family val="0"/>
    </font>
    <font>
      <b val="true"/>
      <sz val="18"/>
      <color rgb="FFFFFFFF"/>
      <name val="Calibri"/>
      <family val="2"/>
      <charset val="163"/>
    </font>
    <font>
      <sz val="11"/>
      <color rgb="FF1F1F1F"/>
      <name val="Calibri"/>
      <family val="2"/>
      <charset val="1"/>
    </font>
    <font>
      <b val="true"/>
      <sz val="14"/>
      <color rgb="FFFFFFFF"/>
      <name val="Calibri"/>
      <family val="2"/>
      <charset val="163"/>
    </font>
    <font>
      <sz val="11"/>
      <color rgb="FF1F1F1F"/>
      <name val="Calibri"/>
      <family val="2"/>
      <charset val="163"/>
    </font>
    <font>
      <b val="true"/>
      <sz val="16"/>
      <color rgb="FFFFFFFF"/>
      <name val="Calibri"/>
      <family val="2"/>
      <charset val="163"/>
    </font>
    <font>
      <b val="true"/>
      <sz val="11"/>
      <color rgb="FF1F1F1F"/>
      <name val="Calibri"/>
      <family val="2"/>
      <charset val="163"/>
    </font>
    <font>
      <b val="true"/>
      <sz val="12"/>
      <color rgb="FF1F1F1F"/>
      <name val="Calibri"/>
      <family val="2"/>
      <charset val="163"/>
    </font>
    <font>
      <b val="true"/>
      <sz val="14"/>
      <name val="Calibri"/>
      <family val="2"/>
      <charset val="163"/>
    </font>
    <font>
      <b val="true"/>
      <sz val="11"/>
      <name val="Calibri"/>
      <family val="2"/>
      <charset val="163"/>
    </font>
    <font>
      <b val="true"/>
      <sz val="11"/>
      <color rgb="FFFFFFFF"/>
      <name val="Calibri"/>
      <family val="2"/>
      <charset val="1"/>
    </font>
    <font>
      <b val="true"/>
      <sz val="11"/>
      <color rgb="FF000000"/>
      <name val="Calibri"/>
      <family val="2"/>
      <charset val="163"/>
    </font>
    <font>
      <b val="true"/>
      <sz val="11"/>
      <color rgb="FF1F1F1F"/>
      <name val="Calibri"/>
      <family val="2"/>
      <charset val="1"/>
    </font>
    <font>
      <b val="true"/>
      <sz val="11"/>
      <color rgb="FFFFFFFF"/>
      <name val="Calibri"/>
      <family val="2"/>
      <charset val="163"/>
    </font>
    <font>
      <i val="true"/>
      <sz val="10"/>
      <color rgb="FF404040"/>
      <name val="Calibri"/>
      <family val="2"/>
      <charset val="163"/>
    </font>
    <font>
      <b val="true"/>
      <sz val="12"/>
      <color rgb="FFFFFFFF"/>
      <name val="Calibri"/>
      <family val="2"/>
      <charset val="163"/>
    </font>
  </fonts>
  <fills count="14">
    <fill>
      <patternFill patternType="none"/>
    </fill>
    <fill>
      <patternFill patternType="gray125"/>
    </fill>
    <fill>
      <patternFill patternType="solid">
        <fgColor rgb="FF1F4E79"/>
        <bgColor rgb="FF2F5597"/>
      </patternFill>
    </fill>
    <fill>
      <patternFill patternType="solid">
        <fgColor rgb="FFFFFFFF"/>
        <bgColor rgb="FFFAFAFA"/>
      </patternFill>
    </fill>
    <fill>
      <patternFill patternType="solid">
        <fgColor rgb="FF2F5597"/>
        <bgColor rgb="FF1F4E79"/>
      </patternFill>
    </fill>
    <fill>
      <patternFill patternType="solid">
        <fgColor rgb="FFD9E1F2"/>
        <bgColor rgb="FFDCE6F2"/>
      </patternFill>
    </fill>
    <fill>
      <patternFill patternType="solid">
        <fgColor rgb="FFF2F2F2"/>
        <bgColor rgb="FFF4F6F8"/>
      </patternFill>
    </fill>
    <fill>
      <patternFill patternType="solid">
        <fgColor rgb="FFDCE6F2"/>
        <bgColor rgb="FFD9E1F2"/>
      </patternFill>
    </fill>
    <fill>
      <patternFill patternType="solid">
        <fgColor rgb="FF000000"/>
        <bgColor rgb="FF111827"/>
      </patternFill>
    </fill>
    <fill>
      <patternFill patternType="solid">
        <fgColor rgb="FFF4F6F8"/>
        <bgColor rgb="FFF2F2F2"/>
      </patternFill>
    </fill>
    <fill>
      <patternFill patternType="solid">
        <fgColor rgb="FFF2DCDB"/>
        <bgColor rgb="FFFEE2E2"/>
      </patternFill>
    </fill>
    <fill>
      <patternFill patternType="solid">
        <fgColor rgb="FF111827"/>
        <bgColor rgb="FF1F1F1F"/>
      </patternFill>
    </fill>
    <fill>
      <patternFill patternType="solid">
        <fgColor rgb="FFE9EEF3"/>
        <bgColor rgb="FFF2F2F2"/>
      </patternFill>
    </fill>
    <fill>
      <patternFill patternType="solid">
        <fgColor rgb="FFFAFAFA"/>
        <bgColor rgb="FFF4F6F8"/>
      </patternFill>
    </fill>
  </fills>
  <borders count="1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color rgb="FFBFBFBF"/>
      </left>
      <right style="thin">
        <color rgb="FFBFBFBF"/>
      </right>
      <top/>
      <bottom/>
      <diagonal/>
    </border>
    <border diagonalUp="false" diagonalDown="false">
      <left/>
      <right/>
      <top style="thin"/>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style="thin">
        <color rgb="FFC9CDD2"/>
      </left>
      <right style="thin">
        <color rgb="FFC9CDD2"/>
      </right>
      <top style="thin">
        <color rgb="FFC9CDD2"/>
      </top>
      <bottom style="thin">
        <color rgb="FFC9CD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10" fillId="3" borderId="7"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4" borderId="8" xfId="0" applyFont="true" applyBorder="true" applyAlignment="true" applyProtection="false">
      <alignment horizontal="left" vertical="center" textRotation="0" wrapText="true" indent="0" shrinkToFit="false"/>
      <protection locked="true" hidden="false"/>
    </xf>
    <xf numFmtId="164" fontId="9" fillId="5" borderId="9" xfId="0" applyFont="true" applyBorder="true" applyAlignment="true" applyProtection="false">
      <alignment horizontal="center" vertical="center" textRotation="0" wrapText="true" indent="0" shrinkToFit="false"/>
      <protection locked="true" hidden="false"/>
    </xf>
    <xf numFmtId="164" fontId="7" fillId="3" borderId="9" xfId="0" applyFont="true" applyBorder="true" applyAlignment="true" applyProtection="false">
      <alignment horizontal="center" vertical="center" textRotation="0" wrapText="true" indent="0" shrinkToFit="false"/>
      <protection locked="true" hidden="false"/>
    </xf>
    <xf numFmtId="164" fontId="0" fillId="0" borderId="9" xfId="0" applyFont="false" applyBorder="tru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6" fillId="4" borderId="9" xfId="0" applyFont="true" applyBorder="true" applyAlignment="true" applyProtection="false">
      <alignment horizontal="left" vertical="center" textRotation="0" wrapText="true" indent="0" shrinkToFit="false"/>
      <protection locked="true" hidden="false"/>
    </xf>
    <xf numFmtId="164" fontId="7" fillId="3" borderId="10" xfId="0" applyFont="true" applyBorder="true" applyAlignment="true" applyProtection="false">
      <alignment horizontal="center" vertical="center" textRotation="0" wrapText="true" indent="0" shrinkToFit="false"/>
      <protection locked="true" hidden="false"/>
    </xf>
    <xf numFmtId="164" fontId="6" fillId="4" borderId="9" xfId="0" applyFont="true" applyBorder="true" applyAlignment="true" applyProtection="false">
      <alignment horizontal="general" vertical="center" textRotation="0" wrapText="true" indent="0" shrinkToFit="false"/>
      <protection locked="true" hidden="false"/>
    </xf>
    <xf numFmtId="164" fontId="6" fillId="4" borderId="9"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11" fillId="7" borderId="9"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true" applyProtection="false">
      <alignment horizontal="left" vertical="center" textRotation="0" wrapText="true" indent="0" shrinkToFit="false"/>
      <protection locked="true" hidden="false"/>
    </xf>
    <xf numFmtId="164" fontId="0" fillId="0" borderId="9" xfId="0" applyFont="true" applyBorder="true" applyAlignment="true" applyProtection="true">
      <alignment horizontal="general" vertical="center" textRotation="0" wrapText="true" indent="0" shrinkToFit="false"/>
      <protection locked="false" hidden="false"/>
    </xf>
    <xf numFmtId="164" fontId="0" fillId="0" borderId="9" xfId="0" applyFont="true" applyBorder="true" applyAlignment="false" applyProtection="true">
      <alignment horizontal="general" vertical="bottom" textRotation="0" wrapText="false" indent="0" shrinkToFit="false"/>
      <protection locked="false" hidden="false"/>
    </xf>
    <xf numFmtId="165" fontId="0" fillId="0" borderId="9" xfId="0" applyFont="false" applyBorder="true" applyAlignment="true" applyProtection="false">
      <alignment horizontal="general" vertical="center" textRotation="0" wrapText="true" indent="0" shrinkToFit="false"/>
      <protection locked="true" hidden="false"/>
    </xf>
    <xf numFmtId="164" fontId="13" fillId="8" borderId="9" xfId="0" applyFont="true" applyBorder="true" applyAlignment="true" applyProtection="false">
      <alignment horizontal="center" vertical="center" textRotation="0" wrapText="true" indent="0" shrinkToFit="false"/>
      <protection locked="true" hidden="false"/>
    </xf>
    <xf numFmtId="164" fontId="12" fillId="7" borderId="9"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left" vertical="center" textRotation="0" wrapText="true" indent="0" shrinkToFit="false"/>
      <protection locked="true" hidden="false"/>
    </xf>
    <xf numFmtId="165" fontId="0" fillId="0" borderId="9" xfId="0" applyFont="fals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false" hidden="false"/>
    </xf>
    <xf numFmtId="165" fontId="0" fillId="0" borderId="9" xfId="0" applyFont="false" applyBorder="true" applyAlignment="true" applyProtection="false">
      <alignment horizontal="center" vertical="center" textRotation="0" wrapText="true" indent="0" shrinkToFit="false"/>
      <protection locked="true" hidden="false"/>
    </xf>
    <xf numFmtId="164" fontId="12" fillId="9" borderId="9" xfId="0" applyFont="true" applyBorder="true" applyAlignment="true" applyProtection="false">
      <alignment horizontal="left" vertical="center" textRotation="0" wrapText="true" indent="0" shrinkToFit="false"/>
      <protection locked="true" hidden="false"/>
    </xf>
    <xf numFmtId="165" fontId="12" fillId="9" borderId="9" xfId="0" applyFont="true" applyBorder="true" applyAlignment="true" applyProtection="false">
      <alignment horizontal="center" vertical="center" textRotation="0" wrapText="true" indent="0" shrinkToFit="false"/>
      <protection locked="true" hidden="false"/>
    </xf>
    <xf numFmtId="164" fontId="12" fillId="3" borderId="9" xfId="0" applyFont="true" applyBorder="true" applyAlignment="true" applyProtection="false">
      <alignment horizontal="center" vertical="center" textRotation="0" wrapText="true" indent="0" shrinkToFit="false"/>
      <protection locked="true" hidden="false"/>
    </xf>
    <xf numFmtId="165" fontId="12" fillId="3" borderId="9" xfId="0" applyFont="true" applyBorder="true" applyAlignment="true" applyProtection="false">
      <alignment horizontal="center" vertical="center" textRotation="0" wrapText="true" indent="0" shrinkToFit="false"/>
      <protection locked="true" hidden="false"/>
    </xf>
    <xf numFmtId="164" fontId="14" fillId="0" borderId="9" xfId="0" applyFont="true" applyBorder="true" applyAlignment="true" applyProtection="false">
      <alignment horizontal="left" vertical="bottom" textRotation="0" wrapText="false" indent="0" shrinkToFit="false"/>
      <protection locked="true" hidden="false"/>
    </xf>
    <xf numFmtId="165" fontId="14" fillId="10" borderId="9"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left" vertical="center" textRotation="0" wrapText="true" indent="0" shrinkToFit="false"/>
      <protection locked="true" hidden="false"/>
    </xf>
    <xf numFmtId="164" fontId="7" fillId="0" borderId="9" xfId="0" applyFont="true" applyBorder="true" applyAlignment="true" applyProtection="true">
      <alignment horizontal="center" vertical="center" textRotation="0" wrapText="true" indent="0" shrinkToFit="false"/>
      <protection locked="false" hidden="false"/>
    </xf>
    <xf numFmtId="164" fontId="9" fillId="0" borderId="9" xfId="0" applyFont="true" applyBorder="true" applyAlignment="true" applyProtection="false">
      <alignment horizontal="left" vertical="center" textRotation="0" wrapText="true" indent="0" shrinkToFit="false"/>
      <protection locked="true" hidden="false"/>
    </xf>
    <xf numFmtId="166" fontId="7" fillId="0" borderId="9"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4" fontId="13" fillId="8" borderId="3" xfId="0" applyFont="true" applyBorder="true" applyAlignment="true" applyProtection="false">
      <alignment horizontal="center" vertical="center" textRotation="0" wrapText="true" indent="0" shrinkToFit="false"/>
      <protection locked="true" hidden="false"/>
    </xf>
    <xf numFmtId="164" fontId="15" fillId="0" borderId="9" xfId="0" applyFont="true" applyBorder="true" applyAlignment="true" applyProtection="false">
      <alignment horizontal="left" vertical="center" textRotation="0" wrapText="true" indent="0" shrinkToFit="false"/>
      <protection locked="true" hidden="false"/>
    </xf>
    <xf numFmtId="164" fontId="14" fillId="0" borderId="9" xfId="0" applyFont="true" applyBorder="true" applyAlignment="true" applyProtection="false">
      <alignment horizontal="left" vertical="center" textRotation="0" wrapText="false" indent="0" shrinkToFit="false"/>
      <protection locked="true" hidden="false"/>
    </xf>
    <xf numFmtId="165" fontId="14" fillId="0" borderId="9" xfId="0" applyFont="true" applyBorder="true" applyAlignment="true" applyProtection="false">
      <alignment horizontal="center" vertical="center" textRotation="0" wrapText="false" indent="0" shrinkToFit="false"/>
      <protection locked="true" hidden="false"/>
    </xf>
    <xf numFmtId="164" fontId="14" fillId="0" borderId="11" xfId="0" applyFont="true" applyBorder="true" applyAlignment="true" applyProtection="false">
      <alignment horizontal="center" vertical="bottom" textRotation="0" wrapText="false" indent="0" shrinkToFit="false"/>
      <protection locked="true" hidden="false"/>
    </xf>
    <xf numFmtId="164" fontId="16" fillId="11" borderId="9" xfId="0" applyFont="true" applyBorder="true" applyAlignment="true" applyProtection="false">
      <alignment horizontal="center" vertical="center" textRotation="0" wrapText="true" indent="0" shrinkToFit="false"/>
      <protection locked="true" hidden="false"/>
    </xf>
    <xf numFmtId="164" fontId="12" fillId="12" borderId="9" xfId="0" applyFont="true" applyBorder="true" applyAlignment="true" applyProtection="false">
      <alignment horizontal="center" vertical="center" textRotation="0" wrapText="true" indent="0" shrinkToFit="false"/>
      <protection locked="true" hidden="false"/>
    </xf>
    <xf numFmtId="164" fontId="0" fillId="13" borderId="9" xfId="0" applyFont="true" applyBorder="true" applyAlignment="true" applyProtection="false">
      <alignment horizontal="center" vertical="center" textRotation="0" wrapText="true" indent="0" shrinkToFit="false"/>
      <protection locked="true" hidden="false"/>
    </xf>
    <xf numFmtId="164" fontId="0" fillId="13" borderId="9"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8" fillId="4" borderId="0" xfId="0" applyFont="true" applyBorder="true" applyAlignment="true" applyProtection="false">
      <alignment horizontal="left" vertical="center" textRotation="0" wrapText="true" indent="0" shrinkToFit="false"/>
      <protection locked="true" hidden="false"/>
    </xf>
    <xf numFmtId="164" fontId="9" fillId="5" borderId="12" xfId="0" applyFont="true" applyBorder="true" applyAlignment="true" applyProtection="false">
      <alignment horizontal="center" vertical="center" textRotation="0" wrapText="true" indent="0" shrinkToFit="false"/>
      <protection locked="true" hidden="false"/>
    </xf>
    <xf numFmtId="164" fontId="9" fillId="6" borderId="12" xfId="0" applyFont="true" applyBorder="true" applyAlignment="true" applyProtection="false">
      <alignment horizontal="left" vertical="center" textRotation="0" wrapText="true" indent="0" shrinkToFit="false"/>
      <protection locked="true" hidden="false"/>
    </xf>
    <xf numFmtId="164" fontId="7" fillId="0" borderId="12" xfId="0" applyFont="true" applyBorder="true" applyAlignment="true" applyProtection="false">
      <alignment horizontal="left" vertical="top" textRotation="0" wrapText="true" indent="0" shrinkToFit="false"/>
      <protection locked="true" hidden="false"/>
    </xf>
    <xf numFmtId="164" fontId="5" fillId="0" borderId="12" xfId="0" applyFont="true" applyBorder="true" applyAlignment="true" applyProtection="false">
      <alignment horizontal="left" vertical="top" textRotation="0" wrapText="true" indent="0" shrinkToFit="false"/>
      <protection locked="true" hidden="false"/>
    </xf>
    <xf numFmtId="164" fontId="18" fillId="4" borderId="1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12" borderId="14"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0" fillId="0" borderId="14" xfId="0" applyFont="false" applyBorder="true" applyAlignment="true" applyProtection="false">
      <alignment horizontal="center" vertical="center" textRotation="0" wrapText="true" indent="0" shrinkToFit="false"/>
      <protection locked="true" hidden="false"/>
    </xf>
    <xf numFmtId="164" fontId="0" fillId="0" borderId="14" xfId="0" applyFont="true" applyBorder="tru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FEE2E2"/>
        </patternFill>
      </fill>
    </dxf>
    <dxf>
      <fill>
        <patternFill>
          <bgColor rgb="FFFFEDD5"/>
        </patternFill>
      </fill>
    </dxf>
    <dxf>
      <fill>
        <patternFill>
          <bgColor rgb="FFFEF9C3"/>
        </patternFill>
      </fill>
    </dxf>
    <dxf>
      <fill>
        <patternFill>
          <bgColor rgb="FFDCFCE7"/>
        </patternFill>
      </fill>
    </dxf>
    <dxf>
      <fill>
        <patternFill>
          <bgColor rgb="FFBBF7D0"/>
        </patternFill>
      </fill>
    </dxf>
    <dxf>
      <fill>
        <patternFill>
          <bgColor rgb="FF92D050"/>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patternType="solid">
          <fgColor rgb="FFD9E1F2"/>
        </patternFill>
      </fill>
    </dxf>
    <dxf>
      <fill>
        <patternFill patternType="solid">
          <fgColor rgb="FFF2F2F2"/>
        </patternFill>
      </fill>
    </dxf>
    <dxf>
      <fill>
        <patternFill patternType="solid">
          <fgColor rgb="FF1F1F1F"/>
        </patternFill>
      </fill>
    </dxf>
    <dxf>
      <fill>
        <patternFill patternType="solid">
          <fgColor rgb="00FFFFFF"/>
        </patternFill>
      </fill>
    </dxf>
    <dxf>
      <fill>
        <patternFill patternType="solid">
          <fgColor rgb="FFDEDEDE"/>
          <bgColor rgb="FF242424"/>
        </patternFill>
      </fill>
    </dxf>
    <dxf>
      <fill>
        <patternFill>
          <bgColor rgb="FFFEE2E2"/>
        </patternFill>
      </fill>
    </dxf>
    <dxf>
      <fill>
        <patternFill>
          <bgColor rgb="FFFFEDD5"/>
        </patternFill>
      </fill>
    </dxf>
    <dxf>
      <fill>
        <patternFill>
          <bgColor rgb="FFFEF9C3"/>
        </patternFill>
      </fill>
    </dxf>
    <dxf>
      <fill>
        <patternFill>
          <bgColor rgb="FFDCFCE7"/>
        </patternFill>
      </fill>
    </dxf>
  </dxfs>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BFBFBF"/>
      <rgbColor rgb="FF808080"/>
      <rgbColor rgb="FF9999FF"/>
      <rgbColor rgb="FF993366"/>
      <rgbColor rgb="FFFEF9C3"/>
      <rgbColor rgb="FFDCFCE7"/>
      <rgbColor rgb="FF660066"/>
      <rgbColor rgb="FFFF8080"/>
      <rgbColor rgb="FF0066CC"/>
      <rgbColor rgb="FFC9CDD2"/>
      <rgbColor rgb="FF000080"/>
      <rgbColor rgb="FFFF00FF"/>
      <rgbColor rgb="FFF4F6F8"/>
      <rgbColor rgb="FF00FFFF"/>
      <rgbColor rgb="FF800080"/>
      <rgbColor rgb="FF800000"/>
      <rgbColor rgb="FF008080"/>
      <rgbColor rgb="FF0000FF"/>
      <rgbColor rgb="FF00CCFF"/>
      <rgbColor rgb="FFE9EEF3"/>
      <rgbColor rgb="FFBBF7D0"/>
      <rgbColor rgb="FFFFEDD5"/>
      <rgbColor rgb="FFD9E1F2"/>
      <rgbColor rgb="FFFEE2E2"/>
      <rgbColor rgb="FFDCE6F2"/>
      <rgbColor rgb="FFF2DCDB"/>
      <rgbColor rgb="FF3366FF"/>
      <rgbColor rgb="FF33CCCC"/>
      <rgbColor rgb="FF92D050"/>
      <rgbColor rgb="FFFAFAFA"/>
      <rgbColor rgb="FFFF9900"/>
      <rgbColor rgb="FFFF6600"/>
      <rgbColor rgb="FF2F5597"/>
      <rgbColor rgb="FF969696"/>
      <rgbColor rgb="FF003366"/>
      <rgbColor rgb="FF339966"/>
      <rgbColor rgb="FF111827"/>
      <rgbColor rgb="FF1F1F1F"/>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tables/table1.xml><?xml version="1.0" encoding="utf-8"?>
<table xmlns="http://schemas.openxmlformats.org/spreadsheetml/2006/main" id="1" name="Levels_Backend_1" displayName="Levels_Backend_1" ref="A5:D9" headerRowCount="1" totalsRowCount="0" totalsRowShown="0">
  <autoFilter ref="A5:D9"/>
  <tableColumns count="4">
    <tableColumn id="1" name="Nhóm năng lực"/>
    <tableColumn id="2" name="Cấp độ 1"/>
    <tableColumn id="3" name="Cấp độ 2"/>
    <tableColumn id="4" name="Cấp độ 3"/>
  </tableColumns>
</table>
</file>

<file path=xl/tables/table2.xml><?xml version="1.0" encoding="utf-8"?>
<table xmlns="http://schemas.openxmlformats.org/spreadsheetml/2006/main" id="2" name="Levels_Designer_2" displayName="Levels_Designer_2" ref="A12:D16" headerRowCount="1" totalsRowCount="0" totalsRowShown="0">
  <autoFilter ref="A12:D16"/>
  <tableColumns count="4">
    <tableColumn id="1" name="Nhóm năng lực"/>
    <tableColumn id="2" name="Cấp độ 1"/>
    <tableColumn id="3" name="Cấp độ 2"/>
    <tableColumn id="4" name="Cấp độ 3"/>
  </tableColumns>
</table>
</file>

<file path=xl/tables/table3.xml><?xml version="1.0" encoding="utf-8"?>
<table xmlns="http://schemas.openxmlformats.org/spreadsheetml/2006/main" id="3" name="Levels_FrontEnd_3" displayName="Levels_FrontEnd_3" ref="A19:D23" headerRowCount="1" totalsRowCount="0" totalsRowShown="0">
  <autoFilter ref="A19:D23"/>
  <tableColumns count="4">
    <tableColumn id="1" name="Nhóm năng lực"/>
    <tableColumn id="2" name="Cấp độ 1"/>
    <tableColumn id="3" name="Cấp độ 2"/>
    <tableColumn id="4" name="Cấp độ 3"/>
  </tableColumns>
</table>
</file>

<file path=xl/tables/table4.xml><?xml version="1.0" encoding="utf-8"?>
<table xmlns="http://schemas.openxmlformats.org/spreadsheetml/2006/main" id="4" name="Levels_FullStack_4" displayName="Levels_FullStack_4" ref="A26:E30" headerRowCount="1" totalsRowCount="0" totalsRowShown="0">
  <autoFilter ref="A26:E30"/>
  <tableColumns count="5">
    <tableColumn id="1" name="Nhóm năng lực"/>
    <tableColumn id="2" name="Cấp độ 1"/>
    <tableColumn id="3" name="Cấp độ 2"/>
    <tableColumn id="4" name="Cấp độ 3"/>
    <tableColumn id="5" name="Cấp độ 4"/>
  </tableColumns>
</table>
</file>

<file path=xl/worksheets/_rels/sheet4.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8" activeCellId="0" sqref="G8"/>
    </sheetView>
  </sheetViews>
  <sheetFormatPr defaultColWidth="8.515625" defaultRowHeight="14.25" zeroHeight="false" outlineLevelRow="0" outlineLevelCol="0"/>
  <cols>
    <col collapsed="false" customWidth="true" hidden="false" outlineLevel="0" max="5" min="1" style="0" width="20"/>
  </cols>
  <sheetData>
    <row r="1" customFormat="false" ht="39.75" hidden="false" customHeight="true" outlineLevel="0" collapsed="false">
      <c r="A1" s="1" t="s">
        <v>0</v>
      </c>
      <c r="B1" s="1"/>
      <c r="C1" s="1"/>
      <c r="D1" s="1"/>
      <c r="E1" s="1"/>
    </row>
    <row r="3" customFormat="false" ht="79.5" hidden="false" customHeight="true" outlineLevel="0" collapsed="false">
      <c r="A3" s="2" t="s">
        <v>1</v>
      </c>
      <c r="B3" s="2"/>
      <c r="C3" s="2"/>
      <c r="D3" s="2"/>
      <c r="E3" s="2"/>
    </row>
    <row r="5" customFormat="false" ht="24.75" hidden="false" customHeight="true" outlineLevel="0" collapsed="false">
      <c r="A5" s="3" t="s">
        <v>2</v>
      </c>
      <c r="B5" s="3"/>
      <c r="C5" s="3"/>
      <c r="D5" s="3"/>
      <c r="E5" s="3"/>
    </row>
    <row r="6" customFormat="false" ht="60" hidden="false" customHeight="true" outlineLevel="0" collapsed="false">
      <c r="A6" s="4" t="s">
        <v>3</v>
      </c>
      <c r="B6" s="4"/>
      <c r="C6" s="4"/>
      <c r="D6" s="4"/>
      <c r="E6" s="4"/>
    </row>
  </sheetData>
  <mergeCells count="4">
    <mergeCell ref="A1:E1"/>
    <mergeCell ref="A3:E3"/>
    <mergeCell ref="A5:E5"/>
    <mergeCell ref="A6:E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9" activePane="bottomLeft" state="frozen"/>
      <selection pane="topLeft" activeCell="A1" activeCellId="0" sqref="A1"/>
      <selection pane="bottomLeft" activeCell="B27" activeCellId="0" sqref="B27"/>
    </sheetView>
  </sheetViews>
  <sheetFormatPr defaultColWidth="8.515625" defaultRowHeight="14.25" zeroHeight="false" outlineLevelRow="0" outlineLevelCol="0"/>
  <cols>
    <col collapsed="false" customWidth="true" hidden="false" outlineLevel="0" max="1" min="1" style="0" width="25"/>
    <col collapsed="false" customWidth="true" hidden="false" outlineLevel="0" max="4" min="2" style="0" width="30"/>
    <col collapsed="false" customWidth="true" hidden="false" outlineLevel="0" max="5" min="5" style="0" width="19.44"/>
  </cols>
  <sheetData>
    <row r="1" customFormat="false" ht="34.5" hidden="false" customHeight="true" outlineLevel="0" collapsed="false">
      <c r="A1" s="5" t="s">
        <v>4</v>
      </c>
      <c r="B1" s="5"/>
      <c r="C1" s="5"/>
      <c r="D1" s="5"/>
    </row>
    <row r="3" customFormat="false" ht="24.75" hidden="false" customHeight="true" outlineLevel="0" collapsed="false">
      <c r="A3" s="6" t="s">
        <v>5</v>
      </c>
      <c r="B3" s="6"/>
      <c r="C3" s="6"/>
      <c r="D3" s="6"/>
    </row>
    <row r="4" customFormat="false" ht="19.5" hidden="false" customHeight="true" outlineLevel="0" collapsed="false">
      <c r="A4" s="7" t="s">
        <v>6</v>
      </c>
      <c r="B4" s="7"/>
      <c r="C4" s="7"/>
      <c r="D4" s="7"/>
    </row>
    <row r="5" customFormat="false" ht="19.5" hidden="false" customHeight="true" outlineLevel="0" collapsed="false">
      <c r="A5" s="8" t="s">
        <v>7</v>
      </c>
      <c r="B5" s="8"/>
      <c r="C5" s="8"/>
      <c r="D5" s="8"/>
    </row>
    <row r="6" customFormat="false" ht="18" hidden="false" customHeight="true" outlineLevel="0" collapsed="false">
      <c r="A6" s="9"/>
      <c r="B6" s="10" t="s">
        <v>8</v>
      </c>
      <c r="C6" s="10"/>
      <c r="D6" s="10"/>
    </row>
    <row r="7" customFormat="false" ht="18" hidden="false" customHeight="true" outlineLevel="0" collapsed="false">
      <c r="A7" s="9"/>
      <c r="B7" s="10" t="s">
        <v>9</v>
      </c>
      <c r="C7" s="10"/>
      <c r="D7" s="10"/>
    </row>
    <row r="8" customFormat="false" ht="18" hidden="false" customHeight="true" outlineLevel="0" collapsed="false">
      <c r="A8" s="9"/>
      <c r="B8" s="10" t="s">
        <v>10</v>
      </c>
      <c r="C8" s="10"/>
      <c r="D8" s="10"/>
    </row>
    <row r="9" customFormat="false" ht="18" hidden="false" customHeight="true" outlineLevel="0" collapsed="false">
      <c r="A9" s="11"/>
      <c r="B9" s="12" t="s">
        <v>11</v>
      </c>
      <c r="C9" s="12"/>
      <c r="D9" s="12"/>
    </row>
    <row r="11" customFormat="false" ht="19.5" hidden="false" customHeight="true" outlineLevel="0" collapsed="false">
      <c r="A11" s="13" t="s">
        <v>12</v>
      </c>
      <c r="B11" s="13"/>
      <c r="C11" s="13"/>
      <c r="D11" s="13"/>
    </row>
    <row r="12" customFormat="false" ht="18" hidden="false" customHeight="true" outlineLevel="0" collapsed="false">
      <c r="A12" s="9"/>
      <c r="B12" s="10" t="s">
        <v>13</v>
      </c>
      <c r="C12" s="10"/>
      <c r="D12" s="10"/>
    </row>
    <row r="13" customFormat="false" ht="18" hidden="false" customHeight="true" outlineLevel="0" collapsed="false">
      <c r="A13" s="11"/>
      <c r="B13" s="12" t="s">
        <v>14</v>
      </c>
      <c r="C13" s="12"/>
      <c r="D13" s="12"/>
    </row>
    <row r="16" customFormat="false" ht="24.75" hidden="false" customHeight="true" outlineLevel="0" collapsed="false">
      <c r="A16" s="6" t="s">
        <v>15</v>
      </c>
      <c r="B16" s="6"/>
      <c r="C16" s="6"/>
      <c r="D16" s="6"/>
    </row>
    <row r="17" customFormat="false" ht="25.5" hidden="false" customHeight="true" outlineLevel="0" collapsed="false">
      <c r="A17" s="14" t="s">
        <v>16</v>
      </c>
      <c r="B17" s="14"/>
      <c r="C17" s="14"/>
      <c r="D17" s="14"/>
    </row>
    <row r="18" customFormat="false" ht="30" hidden="false" customHeight="true" outlineLevel="0" collapsed="false">
      <c r="A18" s="15" t="s">
        <v>17</v>
      </c>
      <c r="B18" s="15"/>
      <c r="C18" s="15"/>
      <c r="D18" s="15"/>
    </row>
    <row r="19" customFormat="false" ht="19.5" hidden="false" customHeight="true" outlineLevel="0" collapsed="false">
      <c r="A19" s="16" t="s">
        <v>18</v>
      </c>
      <c r="B19" s="16"/>
      <c r="C19" s="16"/>
      <c r="D19" s="16"/>
    </row>
    <row r="20" customFormat="false" ht="18" hidden="false" customHeight="true" outlineLevel="0" collapsed="false">
      <c r="A20" s="17" t="s">
        <v>19</v>
      </c>
      <c r="B20" s="17"/>
      <c r="C20" s="17"/>
      <c r="D20" s="17"/>
    </row>
    <row r="21" customFormat="false" ht="18" hidden="false" customHeight="true" outlineLevel="0" collapsed="false">
      <c r="A21" s="17" t="s">
        <v>20</v>
      </c>
      <c r="B21" s="17"/>
      <c r="C21" s="17"/>
      <c r="D21" s="17"/>
    </row>
    <row r="22" customFormat="false" ht="18" hidden="false" customHeight="true" outlineLevel="0" collapsed="false">
      <c r="A22" s="17" t="s">
        <v>21</v>
      </c>
      <c r="B22" s="17"/>
      <c r="C22" s="17"/>
      <c r="D22" s="17"/>
    </row>
    <row r="24" customFormat="false" ht="24.75" hidden="false" customHeight="true" outlineLevel="0" collapsed="false">
      <c r="A24" s="18" t="s">
        <v>22</v>
      </c>
      <c r="B24" s="18"/>
      <c r="C24" s="18"/>
      <c r="D24" s="18"/>
    </row>
    <row r="25" customFormat="false" ht="19.5" hidden="false" customHeight="true" outlineLevel="0" collapsed="false">
      <c r="A25" s="19" t="s">
        <v>23</v>
      </c>
      <c r="B25" s="19"/>
      <c r="C25" s="19"/>
      <c r="D25" s="19"/>
    </row>
    <row r="26" customFormat="false" ht="19.5" hidden="false" customHeight="true" outlineLevel="0" collapsed="false">
      <c r="A26" s="9"/>
      <c r="B26" s="20" t="s">
        <v>24</v>
      </c>
      <c r="C26" s="20"/>
      <c r="D26" s="20"/>
    </row>
    <row r="27" customFormat="false" ht="19.5" hidden="false" customHeight="true" outlineLevel="0" collapsed="false">
      <c r="A27" s="9"/>
      <c r="B27" s="20" t="s">
        <v>25</v>
      </c>
      <c r="C27" s="20"/>
      <c r="D27" s="20"/>
    </row>
    <row r="28" customFormat="false" ht="19.5" hidden="false" customHeight="true" outlineLevel="0" collapsed="false">
      <c r="A28" s="11"/>
      <c r="B28" s="21" t="s">
        <v>26</v>
      </c>
      <c r="C28" s="21"/>
      <c r="D28" s="21"/>
    </row>
    <row r="30" customFormat="false" ht="19.5" hidden="false" customHeight="true" outlineLevel="0" collapsed="false">
      <c r="A30" s="19" t="s">
        <v>27</v>
      </c>
      <c r="B30" s="19"/>
      <c r="C30" s="19"/>
      <c r="D30" s="19"/>
    </row>
    <row r="31" customFormat="false" ht="33.75" hidden="false" customHeight="true" outlineLevel="0" collapsed="false">
      <c r="A31" s="11"/>
      <c r="B31" s="21" t="s">
        <v>28</v>
      </c>
      <c r="C31" s="21"/>
      <c r="D31" s="21"/>
    </row>
    <row r="33" customFormat="false" ht="19.5" hidden="false" customHeight="true" outlineLevel="0" collapsed="false">
      <c r="A33" s="19" t="s">
        <v>29</v>
      </c>
      <c r="B33" s="19"/>
      <c r="C33" s="19"/>
      <c r="D33" s="19"/>
    </row>
    <row r="34" customFormat="false" ht="19.5" hidden="false" customHeight="true" outlineLevel="0" collapsed="false">
      <c r="A34" s="9"/>
      <c r="B34" s="20" t="s">
        <v>30</v>
      </c>
      <c r="C34" s="20"/>
      <c r="D34" s="20"/>
    </row>
    <row r="35" customFormat="false" ht="19.5" hidden="false" customHeight="true" outlineLevel="0" collapsed="false">
      <c r="A35" s="11"/>
      <c r="B35" s="21" t="s">
        <v>31</v>
      </c>
      <c r="C35" s="21"/>
      <c r="D35" s="21"/>
    </row>
    <row r="36" customFormat="false" ht="19.5" hidden="false" customHeight="true" outlineLevel="0" collapsed="false">
      <c r="B36" s="22"/>
    </row>
    <row r="37" customFormat="false" ht="19.5" hidden="false" customHeight="true" outlineLevel="0" collapsed="false">
      <c r="A37" s="23" t="s">
        <v>32</v>
      </c>
      <c r="B37" s="23"/>
      <c r="C37" s="23"/>
      <c r="D37" s="23"/>
      <c r="E37" s="23"/>
    </row>
    <row r="38" customFormat="false" ht="19.5" hidden="false" customHeight="true" outlineLevel="0" collapsed="false">
      <c r="A38" s="24" t="s">
        <v>33</v>
      </c>
      <c r="B38" s="24" t="s">
        <v>34</v>
      </c>
      <c r="C38" s="24" t="s">
        <v>35</v>
      </c>
      <c r="D38" s="24" t="s">
        <v>36</v>
      </c>
      <c r="E38" s="24" t="s">
        <v>37</v>
      </c>
    </row>
    <row r="39" customFormat="false" ht="19.5" hidden="false" customHeight="true" outlineLevel="0" collapsed="false">
      <c r="A39" s="25" t="s">
        <v>38</v>
      </c>
      <c r="B39" s="25" t="n">
        <v>30</v>
      </c>
      <c r="C39" s="26" t="n">
        <v>25</v>
      </c>
      <c r="D39" s="26" t="n">
        <v>15</v>
      </c>
      <c r="E39" s="26" t="n">
        <v>30</v>
      </c>
    </row>
    <row r="40" customFormat="false" ht="14.25" hidden="false" customHeight="false" outlineLevel="0" collapsed="false">
      <c r="A40" s="25" t="s">
        <v>39</v>
      </c>
      <c r="B40" s="25" t="n">
        <v>35</v>
      </c>
      <c r="C40" s="26" t="n">
        <v>25</v>
      </c>
      <c r="D40" s="26" t="n">
        <v>15</v>
      </c>
      <c r="E40" s="26" t="n">
        <v>25</v>
      </c>
    </row>
    <row r="41" customFormat="false" ht="14.25" hidden="false" customHeight="false" outlineLevel="0" collapsed="false">
      <c r="A41" s="25" t="s">
        <v>40</v>
      </c>
      <c r="B41" s="25" t="n">
        <v>30</v>
      </c>
      <c r="C41" s="26" t="n">
        <v>25</v>
      </c>
      <c r="D41" s="26" t="n">
        <v>10</v>
      </c>
      <c r="E41" s="26" t="n">
        <v>35</v>
      </c>
    </row>
    <row r="42" customFormat="false" ht="14.25" hidden="false" customHeight="false" outlineLevel="0" collapsed="false">
      <c r="A42" s="25" t="s">
        <v>41</v>
      </c>
      <c r="B42" s="25" t="n">
        <v>30</v>
      </c>
      <c r="C42" s="26" t="n">
        <v>30</v>
      </c>
      <c r="D42" s="26" t="n">
        <v>15</v>
      </c>
      <c r="E42" s="26" t="n">
        <v>25</v>
      </c>
    </row>
    <row r="43" customFormat="false" ht="14.25" hidden="false" customHeight="false" outlineLevel="0" collapsed="false">
      <c r="A43" s="27"/>
      <c r="B43" s="27"/>
    </row>
    <row r="44" customFormat="false" ht="24.75" hidden="false" customHeight="true" outlineLevel="0" collapsed="false">
      <c r="A44" s="28" t="s">
        <v>42</v>
      </c>
      <c r="B44" s="28"/>
    </row>
    <row r="45" customFormat="false" ht="19.5" hidden="false" customHeight="true" outlineLevel="0" collapsed="false">
      <c r="A45" s="24" t="s">
        <v>43</v>
      </c>
      <c r="B45" s="24" t="s">
        <v>44</v>
      </c>
    </row>
    <row r="46" customFormat="false" ht="19.5" hidden="false" customHeight="true" outlineLevel="0" collapsed="false">
      <c r="A46" s="25" t="s">
        <v>45</v>
      </c>
      <c r="B46" s="25" t="s">
        <v>46</v>
      </c>
    </row>
    <row r="47" customFormat="false" ht="19.5" hidden="false" customHeight="true" outlineLevel="0" collapsed="false">
      <c r="A47" s="25" t="s">
        <v>47</v>
      </c>
      <c r="B47" s="25" t="s">
        <v>48</v>
      </c>
    </row>
    <row r="48" customFormat="false" ht="19.5" hidden="false" customHeight="true" outlineLevel="0" collapsed="false">
      <c r="A48" s="25" t="s">
        <v>49</v>
      </c>
      <c r="B48" s="25" t="s">
        <v>50</v>
      </c>
    </row>
    <row r="49" customFormat="false" ht="19.5" hidden="false" customHeight="true" outlineLevel="0" collapsed="false">
      <c r="A49" s="29"/>
      <c r="B49" s="29"/>
    </row>
    <row r="50" customFormat="false" ht="21" hidden="false" customHeight="true" outlineLevel="0" collapsed="false">
      <c r="A50" s="30" t="s">
        <v>51</v>
      </c>
      <c r="B50" s="31" t="s">
        <v>52</v>
      </c>
    </row>
    <row r="51" customFormat="false" ht="14.25" hidden="false" customHeight="false" outlineLevel="0" collapsed="false">
      <c r="A51" s="32" t="s">
        <v>53</v>
      </c>
      <c r="B51" s="33" t="n">
        <v>0.8</v>
      </c>
    </row>
    <row r="52" customFormat="false" ht="14.25" hidden="false" customHeight="false" outlineLevel="0" collapsed="false">
      <c r="A52" s="32" t="s">
        <v>48</v>
      </c>
      <c r="B52" s="33" t="n">
        <v>1</v>
      </c>
    </row>
    <row r="54" customFormat="false" ht="18" hidden="false" customHeight="true" outlineLevel="0" collapsed="false">
      <c r="A54" s="30" t="s">
        <v>54</v>
      </c>
      <c r="B54" s="31" t="s">
        <v>52</v>
      </c>
    </row>
    <row r="55" customFormat="false" ht="14.25" hidden="false" customHeight="false" outlineLevel="0" collapsed="false">
      <c r="A55" s="32" t="s">
        <v>53</v>
      </c>
      <c r="B55" s="33" t="n">
        <v>0.8</v>
      </c>
    </row>
    <row r="56" customFormat="false" ht="14.25" hidden="false" customHeight="false" outlineLevel="0" collapsed="false">
      <c r="A56" s="32" t="s">
        <v>48</v>
      </c>
      <c r="B56" s="33" t="n">
        <v>1</v>
      </c>
    </row>
    <row r="57" customFormat="false" ht="14.25" hidden="false" customHeight="false" outlineLevel="0" collapsed="false">
      <c r="A57" s="32" t="s">
        <v>50</v>
      </c>
      <c r="B57" s="33" t="n">
        <v>1.2</v>
      </c>
    </row>
    <row r="59" customFormat="false" ht="18" hidden="false" customHeight="true" outlineLevel="0" collapsed="false">
      <c r="A59" s="30" t="s">
        <v>55</v>
      </c>
      <c r="B59" s="31" t="s">
        <v>56</v>
      </c>
    </row>
    <row r="60" customFormat="false" ht="14.25" hidden="false" customHeight="false" outlineLevel="0" collapsed="false">
      <c r="A60" s="32" t="s">
        <v>57</v>
      </c>
      <c r="B60" s="33" t="n">
        <v>0.5</v>
      </c>
    </row>
    <row r="61" customFormat="false" ht="14.25" hidden="false" customHeight="false" outlineLevel="0" collapsed="false">
      <c r="A61" s="32" t="s">
        <v>58</v>
      </c>
      <c r="B61" s="33" t="n">
        <v>0.5</v>
      </c>
    </row>
    <row r="63" customFormat="false" ht="18" hidden="false" customHeight="true" outlineLevel="0" collapsed="false">
      <c r="A63" s="30" t="s">
        <v>59</v>
      </c>
      <c r="B63" s="31" t="s">
        <v>56</v>
      </c>
    </row>
    <row r="64" customFormat="false" ht="14.25" hidden="false" customHeight="false" outlineLevel="0" collapsed="false">
      <c r="A64" s="32" t="s">
        <v>60</v>
      </c>
      <c r="B64" s="33" t="n">
        <v>0.4</v>
      </c>
    </row>
    <row r="65" customFormat="false" ht="14.25" hidden="false" customHeight="false" outlineLevel="0" collapsed="false">
      <c r="A65" s="32" t="s">
        <v>61</v>
      </c>
      <c r="B65" s="33" t="n">
        <v>0.35</v>
      </c>
    </row>
    <row r="66" customFormat="false" ht="14.25" hidden="false" customHeight="false" outlineLevel="0" collapsed="false">
      <c r="A66" s="32" t="s">
        <v>62</v>
      </c>
      <c r="B66" s="33" t="n">
        <v>0.25</v>
      </c>
    </row>
  </sheetData>
  <mergeCells count="30">
    <mergeCell ref="A1:D1"/>
    <mergeCell ref="A3:D3"/>
    <mergeCell ref="A4:D4"/>
    <mergeCell ref="A5:D5"/>
    <mergeCell ref="B6:D6"/>
    <mergeCell ref="B7:D7"/>
    <mergeCell ref="B8:D8"/>
    <mergeCell ref="B9:D9"/>
    <mergeCell ref="A11:D11"/>
    <mergeCell ref="B12:D12"/>
    <mergeCell ref="B13:D13"/>
    <mergeCell ref="A16:D16"/>
    <mergeCell ref="A17:D17"/>
    <mergeCell ref="A18:D18"/>
    <mergeCell ref="A19:D19"/>
    <mergeCell ref="A20:D20"/>
    <mergeCell ref="A21:D21"/>
    <mergeCell ref="A22:D22"/>
    <mergeCell ref="A24:D24"/>
    <mergeCell ref="A25:D25"/>
    <mergeCell ref="B26:D26"/>
    <mergeCell ref="B27:D27"/>
    <mergeCell ref="B28:D28"/>
    <mergeCell ref="A30:D30"/>
    <mergeCell ref="B31:D31"/>
    <mergeCell ref="A33:D33"/>
    <mergeCell ref="B34:D34"/>
    <mergeCell ref="B35:D35"/>
    <mergeCell ref="A37:E37"/>
    <mergeCell ref="A44:B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9" activeCellId="0" sqref="I9"/>
    </sheetView>
  </sheetViews>
  <sheetFormatPr defaultColWidth="8.515625" defaultRowHeight="14.25" zeroHeight="false" outlineLevelRow="0" outlineLevelCol="0"/>
  <cols>
    <col collapsed="false" customWidth="true" hidden="false" outlineLevel="0" max="1" min="1" style="0" width="25.11"/>
    <col collapsed="false" customWidth="true" hidden="false" outlineLevel="0" max="2" min="2" style="0" width="21.44"/>
    <col collapsed="false" customWidth="true" hidden="false" outlineLevel="0" max="3" min="3" style="0" width="15.22"/>
    <col collapsed="false" customWidth="true" hidden="false" outlineLevel="0" max="4" min="4" style="0" width="25.45"/>
  </cols>
  <sheetData>
    <row r="1" customFormat="false" ht="14.25" hidden="false" customHeight="true" outlineLevel="0" collapsed="false">
      <c r="A1" s="34" t="s">
        <v>63</v>
      </c>
      <c r="B1" s="34"/>
      <c r="C1" s="34"/>
      <c r="D1" s="34"/>
    </row>
    <row r="3" customFormat="false" ht="19.5" hidden="false" customHeight="true" outlineLevel="0" collapsed="false">
      <c r="A3" s="35" t="s">
        <v>64</v>
      </c>
      <c r="B3" s="36" t="s">
        <v>65</v>
      </c>
      <c r="C3" s="35" t="s">
        <v>66</v>
      </c>
      <c r="D3" s="37" t="s">
        <v>67</v>
      </c>
    </row>
    <row r="4" customFormat="false" ht="19.5" hidden="false" customHeight="true" outlineLevel="0" collapsed="false">
      <c r="A4" s="35" t="s">
        <v>33</v>
      </c>
      <c r="B4" s="38" t="str">
        <f aca="false">IF(VLOOKUP(B3,'NHÂN SỰ'!A:B,2,0)=0,"",VLOOKUP(B3,'NHÂN SỰ'!A:B,2,0))</f>
        <v>Frontend</v>
      </c>
      <c r="C4" s="35" t="s">
        <v>68</v>
      </c>
      <c r="D4" s="37"/>
    </row>
    <row r="6" customFormat="false" ht="18" hidden="false" customHeight="true" outlineLevel="0" collapsed="false">
      <c r="A6" s="39" t="s">
        <v>69</v>
      </c>
      <c r="B6" s="39"/>
      <c r="C6" s="39"/>
      <c r="D6" s="39"/>
    </row>
    <row r="7" customFormat="false" ht="14.25" hidden="false" customHeight="false" outlineLevel="0" collapsed="false">
      <c r="A7" s="40" t="s">
        <v>70</v>
      </c>
      <c r="B7" s="40" t="s">
        <v>71</v>
      </c>
      <c r="C7" s="40" t="s">
        <v>72</v>
      </c>
      <c r="D7" s="40" t="s">
        <v>52</v>
      </c>
    </row>
    <row r="8" customFormat="false" ht="14.25" hidden="false" customHeight="false" outlineLevel="0" collapsed="false">
      <c r="A8" s="41" t="s">
        <v>73</v>
      </c>
      <c r="B8" s="42" t="n">
        <f aca="false">IF(B4="",0,INDEX('CẤU TRÚC &amp; TRỌNG SỐ'!B$39:B$42, MATCH(TRIM(B$4), 'CẤU TRÚC &amp; TRỌNG SỐ'!A$39:A$42, 0)))</f>
        <v>30</v>
      </c>
      <c r="C8" s="43" t="s">
        <v>48</v>
      </c>
      <c r="D8" s="44" t="n">
        <f aca="false">IF(C8="","", B8*VLOOKUP(TRIM(UPPER(C8)), 'CẤU TRÚC &amp; TRỌNG SỐ'!A$51:B$52, 2, FALSE())/100)</f>
        <v>0.3</v>
      </c>
    </row>
    <row r="9" customFormat="false" ht="14.25" hidden="false" customHeight="false" outlineLevel="0" collapsed="false">
      <c r="A9" s="41" t="s">
        <v>74</v>
      </c>
      <c r="B9" s="42" t="n">
        <f aca="false">IF(B4="",0,INDEX('CẤU TRÚC &amp; TRỌNG SỐ'!C$39:C$42, MATCH(TRIM(B$4), 'CẤU TRÚC &amp; TRỌNG SỐ'!A$39:A$42, 0)))</f>
        <v>25</v>
      </c>
      <c r="C9" s="43" t="s">
        <v>48</v>
      </c>
      <c r="D9" s="44" t="n">
        <f aca="false">IF(C9="","", B9*VLOOKUP(TRIM(UPPER(C9)), 'CẤU TRÚC &amp; TRỌNG SỐ'!A$51:B$52, 2, FALSE())/100)</f>
        <v>0.25</v>
      </c>
    </row>
    <row r="10" customFormat="false" ht="28.5" hidden="false" customHeight="true" outlineLevel="0" collapsed="false">
      <c r="A10" s="41" t="s">
        <v>75</v>
      </c>
      <c r="B10" s="42" t="n">
        <f aca="false">IF(B4="",0,INDEX('CẤU TRÚC &amp; TRỌNG SỐ'!D$39:D$42, MATCH(TRIM(B$4), 'CẤU TRÚC &amp; TRỌNG SỐ'!A$39:A$42, 0)))</f>
        <v>10</v>
      </c>
      <c r="C10" s="43" t="s">
        <v>48</v>
      </c>
      <c r="D10" s="44" t="n">
        <f aca="false">IF(C10="","", B10*VLOOKUP(TRIM(UPPER(C10)), 'CẤU TRÚC &amp; TRỌNG SỐ'!A$51:B$52, 2, FALSE())/100)</f>
        <v>0.1</v>
      </c>
    </row>
    <row r="11" customFormat="false" ht="28.5" hidden="false" customHeight="true" outlineLevel="0" collapsed="false">
      <c r="A11" s="41" t="s">
        <v>76</v>
      </c>
      <c r="B11" s="42" t="n">
        <f aca="false">IF(B4="",0,INDEX('CẤU TRÚC &amp; TRỌNG SỐ'!E$39:E$42, MATCH(TRIM(B$4), 'CẤU TRÚC &amp; TRỌNG SỐ'!A$39:A$42, 0)))</f>
        <v>35</v>
      </c>
      <c r="C11" s="43" t="s">
        <v>48</v>
      </c>
      <c r="D11" s="44" t="n">
        <f aca="false">IF(C11="","", B11*VLOOKUP(TRIM(UPPER(C11)), 'CẤU TRÚC &amp; TRỌNG SỐ'!A$51:B$52, 2, FALSE())/100)</f>
        <v>0.35</v>
      </c>
    </row>
    <row r="12" customFormat="false" ht="14.25" hidden="false" customHeight="false" outlineLevel="0" collapsed="false">
      <c r="A12" s="45" t="s">
        <v>77</v>
      </c>
      <c r="B12" s="46" t="n">
        <f aca="false">SUM(B8:B11)</f>
        <v>100</v>
      </c>
      <c r="C12" s="47"/>
      <c r="D12" s="48" t="n">
        <f aca="false">IF(OR(D8="", D9="", D10="", D11=""), "", SUM(D8:D11))</f>
        <v>1</v>
      </c>
    </row>
    <row r="13" customFormat="false" ht="14.25" hidden="false" customHeight="false" outlineLevel="0" collapsed="false">
      <c r="A13" s="49" t="s">
        <v>78</v>
      </c>
      <c r="B13" s="49"/>
      <c r="C13" s="49"/>
      <c r="D13" s="50" t="str">
        <f aca="false">IF(D12="","", IF(SUM(D8:D11)&gt;0.8,"ĐẠT","CHƯA ĐẠT"))</f>
        <v>ĐẠT</v>
      </c>
    </row>
    <row r="14" customFormat="false" ht="18" hidden="false" customHeight="true" outlineLevel="0" collapsed="false"/>
    <row r="15" customFormat="false" ht="18" hidden="false" customHeight="true" outlineLevel="0" collapsed="false">
      <c r="A15" s="39" t="s">
        <v>79</v>
      </c>
      <c r="B15" s="39"/>
      <c r="C15" s="39"/>
      <c r="D15" s="39"/>
    </row>
    <row r="16" customFormat="false" ht="33" hidden="false" customHeight="true" outlineLevel="0" collapsed="false">
      <c r="A16" s="24" t="s">
        <v>80</v>
      </c>
      <c r="B16" s="24" t="s">
        <v>81</v>
      </c>
      <c r="C16" s="24" t="s">
        <v>82</v>
      </c>
      <c r="D16" s="24"/>
    </row>
    <row r="17" customFormat="false" ht="42.75" hidden="false" customHeight="true" outlineLevel="0" collapsed="false">
      <c r="A17" s="51" t="s">
        <v>83</v>
      </c>
      <c r="B17" s="51" t="s">
        <v>84</v>
      </c>
      <c r="C17" s="52" t="s">
        <v>50</v>
      </c>
      <c r="D17" s="52"/>
    </row>
    <row r="18" customFormat="false" ht="42.75" hidden="false" customHeight="true" outlineLevel="0" collapsed="false">
      <c r="A18" s="51" t="s">
        <v>85</v>
      </c>
      <c r="B18" s="51" t="s">
        <v>86</v>
      </c>
      <c r="C18" s="52" t="s">
        <v>48</v>
      </c>
      <c r="D18" s="52"/>
    </row>
    <row r="19" customFormat="false" ht="42.75" hidden="false" customHeight="true" outlineLevel="0" collapsed="false">
      <c r="A19" s="51" t="s">
        <v>87</v>
      </c>
      <c r="B19" s="51" t="s">
        <v>88</v>
      </c>
      <c r="C19" s="52" t="s">
        <v>50</v>
      </c>
      <c r="D19" s="52"/>
    </row>
    <row r="20" customFormat="false" ht="24" hidden="false" customHeight="true" outlineLevel="0" collapsed="false">
      <c r="A20" s="53" t="s">
        <v>89</v>
      </c>
      <c r="B20" s="53"/>
      <c r="C20" s="54" t="n">
        <f aca="false">IF(COUNTA(C17:C19)=0,"",
 IFERROR(VLOOKUP(C17,'CẤU TRÚC &amp; TRỌNG SỐ'!A$55:B$57,2,0),0)*'CẤU TRÚC &amp; TRỌNG SỐ'!B64
+IFERROR(VLOOKUP(C18,'CẤU TRÚC &amp; TRỌNG SỐ'!A$55:B$57,2,0),0)*'CẤU TRÚC &amp; TRỌNG SỐ'!B65
+IFERROR(VLOOKUP(C19,'CẤU TRÚC &amp; TRỌNG SỐ'!A$55:B$57,2,0),0)*'CẤU TRÚC &amp; TRỌNG SỐ'!B66)</f>
        <v>1.13</v>
      </c>
      <c r="D20" s="54"/>
    </row>
    <row r="21" customFormat="false" ht="24.75" hidden="false" customHeight="true" outlineLevel="0" collapsed="false">
      <c r="A21" s="55"/>
      <c r="B21" s="55"/>
      <c r="C21" s="56"/>
      <c r="D21" s="56"/>
    </row>
    <row r="22" customFormat="false" ht="14.25" hidden="false" customHeight="true" outlineLevel="0" collapsed="false">
      <c r="A22" s="57" t="s">
        <v>90</v>
      </c>
      <c r="B22" s="57"/>
      <c r="C22" s="57"/>
      <c r="D22" s="57"/>
    </row>
    <row r="23" customFormat="false" ht="24" hidden="false" customHeight="true" outlineLevel="0" collapsed="false">
      <c r="A23" s="58" t="s">
        <v>89</v>
      </c>
      <c r="B23" s="58"/>
      <c r="C23" s="54" t="n">
        <f aca="false">IF(OR(D12="",C20=""),"",D12*'CẤU TRÚC &amp; TRỌNG SỐ'!B60+C20*'CẤU TRÚC &amp; TRỌNG SỐ'!B61)</f>
        <v>1.065</v>
      </c>
      <c r="D23" s="54"/>
    </row>
    <row r="24" customFormat="false" ht="24" hidden="false" customHeight="true" outlineLevel="0" collapsed="false">
      <c r="A24" s="59" t="s">
        <v>91</v>
      </c>
      <c r="B24" s="59"/>
      <c r="C24" s="60" t="str">
        <f aca="false">IF(C23="","KHÔNG CÓ",
   IF(ROUND(C23,2)&lt;1,"CHƯA ĐẠT",
      IF(ROUND(C23,2)=1,"ĐẠT","TỐT")
   )
)</f>
        <v>TỐT</v>
      </c>
      <c r="D24" s="60"/>
    </row>
    <row r="25" customFormat="false" ht="18" hidden="false" customHeight="true" outlineLevel="0" collapsed="false">
      <c r="A25" s="61"/>
      <c r="B25" s="61"/>
      <c r="C25" s="61"/>
      <c r="D25" s="61"/>
    </row>
    <row r="26" customFormat="false" ht="14.25" hidden="false" customHeight="true" outlineLevel="0" collapsed="false">
      <c r="A26" s="62" t="s">
        <v>92</v>
      </c>
      <c r="B26" s="62"/>
      <c r="C26" s="62"/>
      <c r="D26" s="62"/>
    </row>
    <row r="27" customFormat="false" ht="14.25" hidden="false" customHeight="true" outlineLevel="0" collapsed="false">
      <c r="A27" s="63" t="s">
        <v>93</v>
      </c>
      <c r="B27" s="63" t="s">
        <v>81</v>
      </c>
      <c r="C27" s="63"/>
      <c r="D27" s="63"/>
    </row>
    <row r="28" customFormat="false" ht="33.75" hidden="false" customHeight="true" outlineLevel="0" collapsed="false">
      <c r="A28" s="64" t="s">
        <v>94</v>
      </c>
      <c r="B28" s="65" t="s">
        <v>95</v>
      </c>
      <c r="C28" s="65"/>
      <c r="D28" s="65"/>
    </row>
    <row r="29" customFormat="false" ht="33.75" hidden="false" customHeight="true" outlineLevel="0" collapsed="false">
      <c r="A29" s="64" t="s">
        <v>96</v>
      </c>
      <c r="B29" s="65" t="s">
        <v>97</v>
      </c>
      <c r="C29" s="65"/>
      <c r="D29" s="65"/>
    </row>
    <row r="30" customFormat="false" ht="33.75" hidden="false" customHeight="true" outlineLevel="0" collapsed="false">
      <c r="A30" s="64" t="s">
        <v>98</v>
      </c>
      <c r="B30" s="65" t="s">
        <v>99</v>
      </c>
      <c r="C30" s="65"/>
      <c r="D30" s="65"/>
    </row>
  </sheetData>
  <mergeCells count="21">
    <mergeCell ref="A1:D1"/>
    <mergeCell ref="A6:D6"/>
    <mergeCell ref="A13:C13"/>
    <mergeCell ref="A15:D15"/>
    <mergeCell ref="C16:D16"/>
    <mergeCell ref="C17:D17"/>
    <mergeCell ref="C18:D18"/>
    <mergeCell ref="C19:D19"/>
    <mergeCell ref="A20:B20"/>
    <mergeCell ref="C20:D20"/>
    <mergeCell ref="A22:D22"/>
    <mergeCell ref="A23:B23"/>
    <mergeCell ref="C23:D23"/>
    <mergeCell ref="A24:B24"/>
    <mergeCell ref="C24:D24"/>
    <mergeCell ref="A25:D25"/>
    <mergeCell ref="A26:D26"/>
    <mergeCell ref="B27:D27"/>
    <mergeCell ref="B28:D28"/>
    <mergeCell ref="B29:D29"/>
    <mergeCell ref="B30:D30"/>
  </mergeCells>
  <conditionalFormatting sqref="C8:C11">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fRule type="cellIs" priority="6" operator="equal" aboveAverage="0" equalAverage="0" bottom="0" percent="0" rank="0" text="" dxfId="4">
      <formula>5</formula>
    </cfRule>
  </conditionalFormatting>
  <conditionalFormatting sqref="C24">
    <cfRule type="containsText" priority="7" operator="containsText" aboveAverage="0" equalAverage="0" bottom="0" percent="0" rank="0" text="TỐT" dxfId="5">
      <formula>NOT(ISERROR(SEARCH("TỐT",C24)))</formula>
    </cfRule>
    <cfRule type="beginsWith" priority="8" operator="beginsWith" aboveAverage="0" equalAverage="0" bottom="0" percent="0" rank="0" text="ĐẠT" dxfId="6">
      <formula>LEFT(C24,LEN("ĐẠT"))="ĐẠT"</formula>
    </cfRule>
    <cfRule type="containsText" priority="9" operator="containsText" aboveAverage="0" equalAverage="0" bottom="0" percent="0" rank="0" text="CHƯA" dxfId="7">
      <formula>NOT(ISERROR(SEARCH("CHƯA",C24)))</formula>
    </cfRule>
  </conditionalFormatting>
  <conditionalFormatting sqref="D13">
    <cfRule type="containsText" priority="10" operator="containsText" aboveAverage="0" equalAverage="0" bottom="0" percent="0" rank="0" text="CHƯA Đạt" dxfId="8">
      <formula>NOT(ISERROR(SEARCH("CHƯA Đạt",D13)))</formula>
    </cfRule>
    <cfRule type="containsText" priority="11" operator="containsText" aboveAverage="0" equalAverage="0" bottom="0" percent="0" rank="0" text="ĐẠT" dxfId="9">
      <formula>NOT(ISERROR(SEARCH("ĐẠT",D13)))</formula>
    </cfRule>
  </conditionalFormatting>
  <dataValidations count="4">
    <dataValidation allowBlank="true" errorStyle="stop" operator="between" showDropDown="false" showErrorMessage="false" showInputMessage="false" sqref="C17:C19" type="list">
      <formula1>"Chưa Đạt,Đạt,Tốt"</formula1>
      <formula2>0</formula2>
    </dataValidation>
    <dataValidation allowBlank="true" errorStyle="stop" operator="between" showDropDown="false" showErrorMessage="false" showInputMessage="false" sqref="C16" type="none">
      <formula1>0</formula1>
      <formula2>0</formula2>
    </dataValidation>
    <dataValidation allowBlank="true" errorStyle="stop" operator="between" showDropDown="false" showErrorMessage="false" showInputMessage="false" sqref="C8:C11" type="list">
      <formula1>"Chưa Đạt,Đạt"</formula1>
      <formula2>0</formula2>
    </dataValidation>
    <dataValidation allowBlank="true" errorStyle="stop" operator="between" showDropDown="false" showErrorMessage="true" showInputMessage="true" sqref="B3" type="list">
      <formula1>'NHÂN SỰ'!$A$2:$A$6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B33" activeCellId="0" sqref="B33"/>
    </sheetView>
  </sheetViews>
  <sheetFormatPr defaultColWidth="8.515625" defaultRowHeight="14.25" zeroHeight="false" outlineLevelRow="1" outlineLevelCol="0"/>
  <cols>
    <col collapsed="false" customWidth="true" hidden="false" outlineLevel="0" max="1" min="1" style="0" width="22"/>
    <col collapsed="false" customWidth="true" hidden="false" outlineLevel="0" max="4" min="2" style="0" width="50"/>
    <col collapsed="false" customWidth="true" hidden="false" outlineLevel="0" max="5" min="5" style="0" width="38.78"/>
  </cols>
  <sheetData>
    <row r="1" customFormat="false" ht="30" hidden="false" customHeight="true" outlineLevel="0" collapsed="false">
      <c r="A1" s="66" t="s">
        <v>100</v>
      </c>
      <c r="B1" s="66"/>
      <c r="C1" s="66"/>
      <c r="D1" s="66"/>
    </row>
    <row r="2" customFormat="false" ht="36" hidden="false" customHeight="true" outlineLevel="0" collapsed="false">
      <c r="A2" s="67" t="s">
        <v>101</v>
      </c>
      <c r="B2" s="67"/>
      <c r="C2" s="67"/>
      <c r="D2" s="67"/>
    </row>
    <row r="4" customFormat="false" ht="21.75" hidden="false" customHeight="true" outlineLevel="0" collapsed="false">
      <c r="A4" s="68" t="s">
        <v>39</v>
      </c>
      <c r="B4" s="68"/>
      <c r="C4" s="68"/>
      <c r="D4" s="68"/>
    </row>
    <row r="5" customFormat="false" ht="19.5" hidden="true" customHeight="true" outlineLevel="1" collapsed="false">
      <c r="A5" s="69" t="s">
        <v>70</v>
      </c>
      <c r="B5" s="69" t="s">
        <v>102</v>
      </c>
      <c r="C5" s="69" t="s">
        <v>103</v>
      </c>
      <c r="D5" s="69" t="s">
        <v>104</v>
      </c>
    </row>
    <row r="6" customFormat="false" ht="79.5" hidden="true" customHeight="true" outlineLevel="1" collapsed="false">
      <c r="A6" s="70" t="s">
        <v>73</v>
      </c>
      <c r="B6" s="71" t="s">
        <v>105</v>
      </c>
      <c r="C6" s="71" t="s">
        <v>106</v>
      </c>
      <c r="D6" s="72" t="s">
        <v>107</v>
      </c>
    </row>
    <row r="7" customFormat="false" ht="79.5" hidden="true" customHeight="true" outlineLevel="1" collapsed="false">
      <c r="A7" s="70" t="s">
        <v>74</v>
      </c>
      <c r="B7" s="72" t="s">
        <v>108</v>
      </c>
      <c r="C7" s="72" t="s">
        <v>109</v>
      </c>
      <c r="D7" s="72" t="s">
        <v>110</v>
      </c>
    </row>
    <row r="8" customFormat="false" ht="79.5" hidden="true" customHeight="true" outlineLevel="1" collapsed="false">
      <c r="A8" s="70" t="s">
        <v>111</v>
      </c>
      <c r="B8" s="72" t="s">
        <v>112</v>
      </c>
      <c r="C8" s="72" t="s">
        <v>113</v>
      </c>
      <c r="D8" s="72" t="s">
        <v>114</v>
      </c>
    </row>
    <row r="9" customFormat="false" ht="79.5" hidden="true" customHeight="true" outlineLevel="1" collapsed="false">
      <c r="A9" s="70" t="s">
        <v>115</v>
      </c>
      <c r="B9" s="72" t="s">
        <v>116</v>
      </c>
      <c r="C9" s="72" t="s">
        <v>117</v>
      </c>
      <c r="D9" s="72" t="s">
        <v>118</v>
      </c>
    </row>
    <row r="11" customFormat="false" ht="21.75" hidden="false" customHeight="true" outlineLevel="0" collapsed="false">
      <c r="A11" s="68" t="s">
        <v>38</v>
      </c>
      <c r="B11" s="68"/>
      <c r="C11" s="68"/>
      <c r="D11" s="68"/>
    </row>
    <row r="12" customFormat="false" ht="19.5" hidden="true" customHeight="true" outlineLevel="1" collapsed="false">
      <c r="A12" s="69" t="s">
        <v>70</v>
      </c>
      <c r="B12" s="69" t="s">
        <v>102</v>
      </c>
      <c r="C12" s="69" t="s">
        <v>103</v>
      </c>
      <c r="D12" s="69" t="s">
        <v>104</v>
      </c>
    </row>
    <row r="13" customFormat="false" ht="79.5" hidden="true" customHeight="true" outlineLevel="1" collapsed="false">
      <c r="A13" s="70" t="s">
        <v>73</v>
      </c>
      <c r="B13" s="72" t="s">
        <v>119</v>
      </c>
      <c r="C13" s="72" t="s">
        <v>120</v>
      </c>
      <c r="D13" s="72" t="s">
        <v>121</v>
      </c>
    </row>
    <row r="14" customFormat="false" ht="79.5" hidden="true" customHeight="true" outlineLevel="1" collapsed="false">
      <c r="A14" s="70" t="s">
        <v>74</v>
      </c>
      <c r="B14" s="72" t="s">
        <v>122</v>
      </c>
      <c r="C14" s="72" t="s">
        <v>123</v>
      </c>
      <c r="D14" s="72" t="s">
        <v>124</v>
      </c>
    </row>
    <row r="15" customFormat="false" ht="79.5" hidden="true" customHeight="true" outlineLevel="1" collapsed="false">
      <c r="A15" s="70" t="s">
        <v>111</v>
      </c>
      <c r="B15" s="72" t="s">
        <v>125</v>
      </c>
      <c r="C15" s="72" t="s">
        <v>126</v>
      </c>
      <c r="D15" s="72" t="s">
        <v>127</v>
      </c>
    </row>
    <row r="16" customFormat="false" ht="79.5" hidden="true" customHeight="true" outlineLevel="1" collapsed="false">
      <c r="A16" s="70" t="s">
        <v>115</v>
      </c>
      <c r="B16" s="72" t="s">
        <v>128</v>
      </c>
      <c r="C16" s="72" t="s">
        <v>129</v>
      </c>
      <c r="D16" s="72" t="s">
        <v>130</v>
      </c>
    </row>
    <row r="18" customFormat="false" ht="21.75" hidden="false" customHeight="true" outlineLevel="0" collapsed="false">
      <c r="A18" s="68" t="s">
        <v>131</v>
      </c>
      <c r="B18" s="68"/>
      <c r="C18" s="68"/>
      <c r="D18" s="68"/>
    </row>
    <row r="19" customFormat="false" ht="19.5" hidden="true" customHeight="true" outlineLevel="1" collapsed="false">
      <c r="A19" s="69" t="s">
        <v>70</v>
      </c>
      <c r="B19" s="69" t="s">
        <v>102</v>
      </c>
      <c r="C19" s="69" t="s">
        <v>103</v>
      </c>
      <c r="D19" s="69" t="s">
        <v>104</v>
      </c>
    </row>
    <row r="20" customFormat="false" ht="79.5" hidden="true" customHeight="true" outlineLevel="1" collapsed="false">
      <c r="A20" s="70" t="s">
        <v>73</v>
      </c>
      <c r="B20" s="72" t="s">
        <v>132</v>
      </c>
      <c r="C20" s="72" t="s">
        <v>133</v>
      </c>
      <c r="D20" s="72" t="s">
        <v>134</v>
      </c>
    </row>
    <row r="21" customFormat="false" ht="79.5" hidden="true" customHeight="true" outlineLevel="1" collapsed="false">
      <c r="A21" s="70" t="s">
        <v>74</v>
      </c>
      <c r="B21" s="72" t="s">
        <v>135</v>
      </c>
      <c r="C21" s="72" t="s">
        <v>136</v>
      </c>
      <c r="D21" s="72" t="s">
        <v>137</v>
      </c>
    </row>
    <row r="22" customFormat="false" ht="79.5" hidden="true" customHeight="true" outlineLevel="1" collapsed="false">
      <c r="A22" s="70" t="s">
        <v>111</v>
      </c>
      <c r="B22" s="72" t="s">
        <v>138</v>
      </c>
      <c r="C22" s="72" t="s">
        <v>139</v>
      </c>
      <c r="D22" s="72" t="s">
        <v>140</v>
      </c>
    </row>
    <row r="23" customFormat="false" ht="79.5" hidden="true" customHeight="true" outlineLevel="1" collapsed="false">
      <c r="A23" s="70" t="s">
        <v>115</v>
      </c>
      <c r="B23" s="72" t="s">
        <v>141</v>
      </c>
      <c r="C23" s="72" t="s">
        <v>142</v>
      </c>
      <c r="D23" s="72" t="s">
        <v>143</v>
      </c>
    </row>
    <row r="25" customFormat="false" ht="21.75" hidden="false" customHeight="true" outlineLevel="0" collapsed="false">
      <c r="A25" s="73" t="s">
        <v>144</v>
      </c>
      <c r="B25" s="73"/>
      <c r="C25" s="73"/>
      <c r="D25" s="73"/>
      <c r="E25" s="73"/>
    </row>
    <row r="26" customFormat="false" ht="19.5" hidden="true" customHeight="true" outlineLevel="1" collapsed="false">
      <c r="A26" s="69" t="s">
        <v>70</v>
      </c>
      <c r="B26" s="69" t="s">
        <v>102</v>
      </c>
      <c r="C26" s="69" t="s">
        <v>103</v>
      </c>
      <c r="D26" s="69" t="s">
        <v>104</v>
      </c>
      <c r="E26" s="69" t="s">
        <v>145</v>
      </c>
    </row>
    <row r="27" customFormat="false" ht="79.5" hidden="true" customHeight="true" outlineLevel="1" collapsed="false">
      <c r="A27" s="70" t="s">
        <v>73</v>
      </c>
      <c r="B27" s="72" t="s">
        <v>146</v>
      </c>
      <c r="C27" s="72" t="s">
        <v>147</v>
      </c>
      <c r="D27" s="72" t="s">
        <v>148</v>
      </c>
      <c r="E27" s="74" t="s">
        <v>149</v>
      </c>
    </row>
    <row r="28" customFormat="false" ht="79.5" hidden="true" customHeight="true" outlineLevel="1" collapsed="false">
      <c r="A28" s="70" t="s">
        <v>74</v>
      </c>
      <c r="B28" s="72" t="s">
        <v>150</v>
      </c>
      <c r="C28" s="72" t="s">
        <v>151</v>
      </c>
      <c r="D28" s="72" t="s">
        <v>152</v>
      </c>
      <c r="E28" s="74" t="s">
        <v>153</v>
      </c>
    </row>
    <row r="29" customFormat="false" ht="79.5" hidden="true" customHeight="true" outlineLevel="1" collapsed="false">
      <c r="A29" s="70" t="s">
        <v>111</v>
      </c>
      <c r="B29" s="72" t="s">
        <v>154</v>
      </c>
      <c r="C29" s="72" t="s">
        <v>155</v>
      </c>
      <c r="D29" s="72" t="s">
        <v>156</v>
      </c>
      <c r="E29" s="74" t="s">
        <v>157</v>
      </c>
    </row>
    <row r="30" customFormat="false" ht="79.5" hidden="true" customHeight="true" outlineLevel="1" collapsed="false">
      <c r="A30" s="70" t="s">
        <v>115</v>
      </c>
      <c r="B30" s="72" t="s">
        <v>158</v>
      </c>
      <c r="C30" s="72" t="s">
        <v>159</v>
      </c>
      <c r="D30" s="72" t="s">
        <v>160</v>
      </c>
      <c r="E30" s="74" t="s">
        <v>161</v>
      </c>
    </row>
  </sheetData>
  <mergeCells count="6">
    <mergeCell ref="A1:D1"/>
    <mergeCell ref="A2:D2"/>
    <mergeCell ref="A4:D4"/>
    <mergeCell ref="A11:D11"/>
    <mergeCell ref="A18:D18"/>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8.515625" defaultRowHeight="14.25" zeroHeight="false" outlineLevelRow="0" outlineLevelCol="0"/>
  <cols>
    <col collapsed="false" customWidth="true" hidden="false" outlineLevel="0" max="1" min="1" style="0" width="26.78"/>
    <col collapsed="false" customWidth="true" hidden="false" outlineLevel="0" max="2" min="2" style="0" width="20.55"/>
  </cols>
  <sheetData>
    <row r="1" customFormat="false" ht="18" hidden="false" customHeight="false" outlineLevel="0" collapsed="false">
      <c r="A1" s="30" t="s">
        <v>162</v>
      </c>
      <c r="B1" s="30" t="s">
        <v>163</v>
      </c>
    </row>
    <row r="2" customFormat="false" ht="14.25" hidden="false" customHeight="false" outlineLevel="0" collapsed="false">
      <c r="A2" s="32" t="s">
        <v>164</v>
      </c>
      <c r="B2" s="37" t="s">
        <v>41</v>
      </c>
    </row>
    <row r="3" customFormat="false" ht="14.25" hidden="false" customHeight="false" outlineLevel="0" collapsed="false">
      <c r="A3" s="32" t="s">
        <v>165</v>
      </c>
      <c r="B3" s="37" t="s">
        <v>38</v>
      </c>
    </row>
    <row r="4" customFormat="false" ht="14.25" hidden="false" customHeight="false" outlineLevel="0" collapsed="false">
      <c r="A4" s="32" t="s">
        <v>166</v>
      </c>
      <c r="B4" s="37" t="s">
        <v>40</v>
      </c>
    </row>
    <row r="5" customFormat="false" ht="14.25" hidden="false" customHeight="false" outlineLevel="0" collapsed="false">
      <c r="A5" s="32" t="s">
        <v>65</v>
      </c>
      <c r="B5" s="37" t="s">
        <v>40</v>
      </c>
    </row>
    <row r="6" customFormat="false" ht="14.25" hidden="false" customHeight="false" outlineLevel="0" collapsed="false">
      <c r="A6" s="32" t="s">
        <v>167</v>
      </c>
      <c r="B6" s="37" t="s">
        <v>40</v>
      </c>
    </row>
    <row r="7" customFormat="false" ht="14.25" hidden="false" customHeight="false" outlineLevel="0" collapsed="false">
      <c r="A7" s="75" t="s">
        <v>168</v>
      </c>
      <c r="B7" s="37" t="s">
        <v>39</v>
      </c>
    </row>
  </sheetData>
  <dataValidations count="1">
    <dataValidation allowBlank="true" errorStyle="stop" operator="between" showDropDown="false" showErrorMessage="true" showInputMessage="true" sqref="B2:B7" type="list">
      <formula1>'CẤU TRÚC &amp; TRỌNG SỐ'!$A$39:$A$42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6" activeCellId="0" sqref="C16"/>
    </sheetView>
  </sheetViews>
  <sheetFormatPr defaultColWidth="8.515625" defaultRowHeight="14.2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2"/>
    <col collapsed="false" customWidth="true" hidden="false" outlineLevel="0" max="4" min="4" style="0" width="14"/>
    <col collapsed="false" customWidth="true" hidden="false" outlineLevel="0" max="5" min="5" style="0" width="10"/>
    <col collapsed="false" customWidth="true" hidden="false" outlineLevel="0" max="6" min="6" style="0" width="14"/>
    <col collapsed="false" customWidth="true" hidden="false" outlineLevel="0" max="7" min="7" style="0" width="8"/>
    <col collapsed="false" customWidth="true" hidden="false" outlineLevel="0" max="8" min="8" style="0" width="28"/>
    <col collapsed="false" customWidth="true" hidden="false" outlineLevel="0" max="14" min="9" style="0" width="15"/>
  </cols>
  <sheetData>
    <row r="1" customFormat="false" ht="27.75" hidden="false" customHeight="true" outlineLevel="0" collapsed="false">
      <c r="A1" s="76" t="s">
        <v>169</v>
      </c>
      <c r="B1" s="76"/>
      <c r="C1" s="76"/>
      <c r="D1" s="76"/>
      <c r="E1" s="76"/>
      <c r="F1" s="76"/>
      <c r="G1" s="76"/>
      <c r="H1" s="76"/>
    </row>
    <row r="3" customFormat="false" ht="14.25" hidden="false" customHeight="true" outlineLevel="0" collapsed="false">
      <c r="A3" s="77" t="s">
        <v>170</v>
      </c>
      <c r="B3" s="77"/>
      <c r="C3" s="77"/>
      <c r="D3" s="77"/>
      <c r="E3" s="77"/>
      <c r="F3" s="77"/>
      <c r="G3" s="77"/>
      <c r="H3" s="77"/>
    </row>
    <row r="5" customFormat="false" ht="28.5" hidden="false" customHeight="true" outlineLevel="0" collapsed="false">
      <c r="A5" s="78" t="s">
        <v>171</v>
      </c>
      <c r="B5" s="78" t="s">
        <v>64</v>
      </c>
      <c r="C5" s="78" t="s">
        <v>33</v>
      </c>
      <c r="D5" s="78" t="s">
        <v>66</v>
      </c>
      <c r="E5" s="78" t="s">
        <v>172</v>
      </c>
      <c r="F5" s="78" t="s">
        <v>44</v>
      </c>
      <c r="G5" s="78" t="s">
        <v>173</v>
      </c>
      <c r="H5" s="78" t="s">
        <v>174</v>
      </c>
      <c r="I5" s="79" t="s">
        <v>175</v>
      </c>
      <c r="J5" s="79" t="s">
        <v>176</v>
      </c>
      <c r="K5" s="79" t="s">
        <v>43</v>
      </c>
      <c r="L5" s="79" t="s">
        <v>175</v>
      </c>
      <c r="M5" s="79" t="s">
        <v>176</v>
      </c>
      <c r="N5" s="79" t="s">
        <v>43</v>
      </c>
    </row>
    <row r="6" customFormat="false" ht="14.25" hidden="false" customHeight="false" outlineLevel="0" collapsed="false">
      <c r="A6" s="80" t="n">
        <v>1</v>
      </c>
      <c r="B6" s="81" t="s">
        <v>177</v>
      </c>
      <c r="C6" s="81" t="s">
        <v>178</v>
      </c>
      <c r="D6" s="80"/>
      <c r="E6" s="80"/>
      <c r="F6" s="80" t="str">
        <f aca="false">IF(E6="","",IF(E6&lt;2.5,"Chưa đạt",IF(E6&lt;=3.2,"Đạt",IF(E6&lt;=4,"Tốt","Rất tốt"))))</f>
        <v/>
      </c>
      <c r="G6" s="80" t="str">
        <f aca="false">IF(E6="","",_xludf.rank.eq(E6,$E$6:$E$35,0))</f>
        <v/>
      </c>
      <c r="H6" s="81"/>
      <c r="J6" s="82" t="e">
        <f aca="false">'đánh giá hiệu suất p2'!#ref!</f>
        <v>#VALUE!</v>
      </c>
      <c r="K6" s="82" t="e">
        <f aca="false">'đánh giá hiệu suất p2'!#ref!</f>
        <v>#VALUE!</v>
      </c>
      <c r="M6" s="82" t="e">
        <f aca="false">'đánh giá hiệu suất p2'!#ref!</f>
        <v>#VALUE!</v>
      </c>
      <c r="N6" s="82" t="n">
        <f aca="false">'ĐÁNH GIÁ HIỆU SUẤT P2'!B20</f>
        <v>0</v>
      </c>
    </row>
    <row r="7" customFormat="false" ht="14.25" hidden="false" customHeight="false" outlineLevel="0" collapsed="false">
      <c r="A7" s="80" t="n">
        <v>2</v>
      </c>
      <c r="B7" s="81" t="s">
        <v>179</v>
      </c>
      <c r="C7" s="81" t="s">
        <v>180</v>
      </c>
      <c r="D7" s="80"/>
      <c r="E7" s="80"/>
      <c r="F7" s="80" t="str">
        <f aca="false">IF(E7="","",IF(E7&lt;2.5,"Chưa đạt",IF(E7&lt;=3.2,"Đạt",IF(E7&lt;=4,"Tốt","Rất tốt"))))</f>
        <v/>
      </c>
      <c r="G7" s="80" t="str">
        <f aca="false">IF(E7="","",_xludf.rank.eq(E7,$E$6:$E$35,0))</f>
        <v/>
      </c>
      <c r="H7" s="81"/>
      <c r="J7" s="82" t="e">
        <f aca="false">'đánh giá hiệu suất p2'!#ref!</f>
        <v>#VALUE!</v>
      </c>
      <c r="K7" s="82" t="e">
        <f aca="false">'đánh giá hiệu suất p2'!#ref!</f>
        <v>#VALUE!</v>
      </c>
      <c r="M7" s="82" t="e">
        <f aca="false">'đánh giá hiệu suất p2'!#ref!</f>
        <v>#VALUE!</v>
      </c>
      <c r="N7" s="82" t="n">
        <f aca="false">'ĐÁNH GIÁ HIỆU SUẤT P2'!B20</f>
        <v>0</v>
      </c>
    </row>
    <row r="8" customFormat="false" ht="14.25" hidden="false" customHeight="false" outlineLevel="0" collapsed="false">
      <c r="A8" s="80" t="n">
        <v>3</v>
      </c>
      <c r="B8" s="81" t="s">
        <v>181</v>
      </c>
      <c r="C8" s="81" t="s">
        <v>180</v>
      </c>
      <c r="D8" s="80"/>
      <c r="E8" s="80"/>
      <c r="F8" s="80" t="str">
        <f aca="false">IF(E8="","",IF(E8&lt;2.5,"Chưa đạt",IF(E8&lt;=3.2,"Đạt",IF(E8&lt;=4,"Tốt","Rất tốt"))))</f>
        <v/>
      </c>
      <c r="G8" s="80" t="str">
        <f aca="false">IF(E8="","",_xludf.rank.eq(E8,$E$6:$E$35,0))</f>
        <v/>
      </c>
      <c r="H8" s="81"/>
      <c r="J8" s="82" t="e">
        <f aca="false">'đánh giá hiệu suất p2'!#ref!</f>
        <v>#VALUE!</v>
      </c>
      <c r="K8" s="82" t="e">
        <f aca="false">'đánh giá hiệu suất p2'!#ref!</f>
        <v>#VALUE!</v>
      </c>
      <c r="M8" s="82" t="e">
        <f aca="false">'đánh giá hiệu suất p2'!#ref!</f>
        <v>#VALUE!</v>
      </c>
      <c r="N8" s="82" t="n">
        <f aca="false">'ĐÁNH GIÁ HIỆU SUẤT P2'!B20</f>
        <v>0</v>
      </c>
    </row>
    <row r="9" customFormat="false" ht="14.25" hidden="false" customHeight="false" outlineLevel="0" collapsed="false">
      <c r="A9" s="80" t="n">
        <v>4</v>
      </c>
      <c r="B9" s="81" t="s">
        <v>182</v>
      </c>
      <c r="C9" s="81" t="s">
        <v>180</v>
      </c>
      <c r="D9" s="80"/>
      <c r="E9" s="80"/>
      <c r="F9" s="80" t="str">
        <f aca="false">IF(E9="","",IF(E9&lt;2.5,"Chưa đạt",IF(E9&lt;=3.2,"Đạt",IF(E9&lt;=4,"Tốt","Rất tốt"))))</f>
        <v/>
      </c>
      <c r="G9" s="80" t="str">
        <f aca="false">IF(E9="","",_xludf.rank.eq(E9,$E$6:$E$35,0))</f>
        <v/>
      </c>
      <c r="H9" s="81"/>
      <c r="J9" s="82" t="e">
        <f aca="false">'đánh giá hiệu suất p2'!#ref!</f>
        <v>#VALUE!</v>
      </c>
      <c r="K9" s="82" t="e">
        <f aca="false">'đánh giá hiệu suất p2'!#ref!</f>
        <v>#VALUE!</v>
      </c>
      <c r="M9" s="82" t="e">
        <f aca="false">'đánh giá hiệu suất p2'!#ref!</f>
        <v>#VALUE!</v>
      </c>
      <c r="N9" s="82" t="n">
        <f aca="false">'ĐÁNH GIÁ HIỆU SUẤT P2'!B20</f>
        <v>0</v>
      </c>
    </row>
    <row r="10" customFormat="false" ht="14.25" hidden="false" customHeight="false" outlineLevel="0" collapsed="false">
      <c r="A10" s="80" t="n">
        <v>5</v>
      </c>
      <c r="B10" s="81"/>
      <c r="C10" s="81"/>
      <c r="D10" s="80"/>
      <c r="E10" s="80"/>
      <c r="F10" s="80" t="str">
        <f aca="false">IF(E10="","",IF(E10&lt;2.5,"Chưa đạt",IF(E10&lt;=3.2,"Đạt",IF(E10&lt;=4,"Tốt","Rất tốt"))))</f>
        <v/>
      </c>
      <c r="G10" s="80" t="str">
        <f aca="false">IF(E10="","",_xludf.rank.eq(E10,$E$6:$E$35,0))</f>
        <v/>
      </c>
      <c r="H10" s="81"/>
      <c r="J10" s="82" t="e">
        <f aca="false">'đánh giá hiệu suất p2'!#ref!</f>
        <v>#VALUE!</v>
      </c>
      <c r="K10" s="82" t="e">
        <f aca="false">'đánh giá hiệu suất p2'!#ref!</f>
        <v>#VALUE!</v>
      </c>
      <c r="M10" s="82" t="e">
        <f aca="false">'đánh giá hiệu suất p2'!#ref!</f>
        <v>#VALUE!</v>
      </c>
      <c r="N10" s="82" t="n">
        <f aca="false">'ĐÁNH GIÁ HIỆU SUẤT P2'!B20</f>
        <v>0</v>
      </c>
    </row>
    <row r="11" customFormat="false" ht="14.25" hidden="false" customHeight="false" outlineLevel="0" collapsed="false">
      <c r="A11" s="80" t="n">
        <v>6</v>
      </c>
      <c r="B11" s="81"/>
      <c r="C11" s="81"/>
      <c r="D11" s="80"/>
      <c r="E11" s="80"/>
      <c r="F11" s="80" t="str">
        <f aca="false">IF(E11="","",IF(E11&lt;2.5,"Chưa đạt",IF(E11&lt;=3.2,"Đạt",IF(E11&lt;=4,"Tốt","Rất tốt"))))</f>
        <v/>
      </c>
      <c r="G11" s="80" t="str">
        <f aca="false">IF(E11="","",_xludf.rank.eq(E11,$E$6:$E$35,0))</f>
        <v/>
      </c>
      <c r="H11" s="81"/>
      <c r="J11" s="82" t="e">
        <f aca="false">'đánh giá hiệu suất p2'!#ref!</f>
        <v>#VALUE!</v>
      </c>
      <c r="K11" s="82" t="e">
        <f aca="false">'đánh giá hiệu suất p2'!#ref!</f>
        <v>#VALUE!</v>
      </c>
      <c r="M11" s="82" t="e">
        <f aca="false">'đánh giá hiệu suất p2'!#ref!</f>
        <v>#VALUE!</v>
      </c>
      <c r="N11" s="82" t="n">
        <f aca="false">'ĐÁNH GIÁ HIỆU SUẤT P2'!B20</f>
        <v>0</v>
      </c>
    </row>
    <row r="12" customFormat="false" ht="14.25" hidden="false" customHeight="false" outlineLevel="0" collapsed="false">
      <c r="A12" s="80" t="n">
        <v>7</v>
      </c>
      <c r="B12" s="81"/>
      <c r="C12" s="81"/>
      <c r="D12" s="80"/>
      <c r="E12" s="80"/>
      <c r="F12" s="80" t="str">
        <f aca="false">IF(E12="","",IF(E12&lt;2.5,"Chưa đạt",IF(E12&lt;=3.2,"Đạt",IF(E12&lt;=4,"Tốt","Rất tốt"))))</f>
        <v/>
      </c>
      <c r="G12" s="80" t="str">
        <f aca="false">IF(E12="","",_xludf.rank.eq(E12,$E$6:$E$35,0))</f>
        <v/>
      </c>
      <c r="H12" s="81"/>
      <c r="J12" s="82" t="e">
        <f aca="false">'đánh giá hiệu suất p2'!#ref!</f>
        <v>#VALUE!</v>
      </c>
      <c r="K12" s="82" t="e">
        <f aca="false">'đánh giá hiệu suất p2'!#ref!</f>
        <v>#VALUE!</v>
      </c>
      <c r="M12" s="82" t="e">
        <f aca="false">'đánh giá hiệu suất p2'!#ref!</f>
        <v>#VALUE!</v>
      </c>
      <c r="N12" s="82" t="n">
        <f aca="false">'ĐÁNH GIÁ HIỆU SUẤT P2'!B20</f>
        <v>0</v>
      </c>
    </row>
    <row r="13" customFormat="false" ht="14.25" hidden="false" customHeight="false" outlineLevel="0" collapsed="false">
      <c r="A13" s="80" t="n">
        <v>8</v>
      </c>
      <c r="B13" s="81"/>
      <c r="C13" s="81"/>
      <c r="D13" s="80"/>
      <c r="E13" s="80"/>
      <c r="F13" s="80" t="str">
        <f aca="false">IF(E13="","",IF(E13&lt;2.5,"Chưa đạt",IF(E13&lt;=3.2,"Đạt",IF(E13&lt;=4,"Tốt","Rất tốt"))))</f>
        <v/>
      </c>
      <c r="G13" s="80" t="str">
        <f aca="false">IF(E13="","",_xludf.rank.eq(E13,$E$6:$E$35,0))</f>
        <v/>
      </c>
      <c r="H13" s="81"/>
      <c r="J13" s="82" t="e">
        <f aca="false">'đánh giá hiệu suất p2'!#ref!</f>
        <v>#VALUE!</v>
      </c>
      <c r="K13" s="82" t="e">
        <f aca="false">'đánh giá hiệu suất p2'!#ref!</f>
        <v>#VALUE!</v>
      </c>
      <c r="M13" s="82" t="e">
        <f aca="false">'đánh giá hiệu suất p2'!#ref!</f>
        <v>#VALUE!</v>
      </c>
      <c r="N13" s="82" t="n">
        <f aca="false">'ĐÁNH GIÁ HIỆU SUẤT P2'!B20</f>
        <v>0</v>
      </c>
    </row>
    <row r="14" customFormat="false" ht="14.25" hidden="false" customHeight="false" outlineLevel="0" collapsed="false">
      <c r="A14" s="80" t="n">
        <v>9</v>
      </c>
      <c r="B14" s="81"/>
      <c r="C14" s="81"/>
      <c r="D14" s="80"/>
      <c r="E14" s="80"/>
      <c r="F14" s="80" t="str">
        <f aca="false">IF(E14="","",IF(E14&lt;2.5,"Chưa đạt",IF(E14&lt;=3.2,"Đạt",IF(E14&lt;=4,"Tốt","Rất tốt"))))</f>
        <v/>
      </c>
      <c r="G14" s="80" t="str">
        <f aca="false">IF(E14="","",_xludf.rank.eq(E14,$E$6:$E$35,0))</f>
        <v/>
      </c>
      <c r="H14" s="81"/>
      <c r="J14" s="82" t="e">
        <f aca="false">'đánh giá hiệu suất p2'!#ref!</f>
        <v>#VALUE!</v>
      </c>
      <c r="K14" s="82" t="e">
        <f aca="false">'đánh giá hiệu suất p2'!#ref!</f>
        <v>#VALUE!</v>
      </c>
      <c r="M14" s="82" t="e">
        <f aca="false">'đánh giá hiệu suất p2'!#ref!</f>
        <v>#VALUE!</v>
      </c>
      <c r="N14" s="82" t="n">
        <f aca="false">'ĐÁNH GIÁ HIỆU SUẤT P2'!B20</f>
        <v>0</v>
      </c>
    </row>
    <row r="15" customFormat="false" ht="14.25" hidden="false" customHeight="false" outlineLevel="0" collapsed="false">
      <c r="A15" s="80" t="n">
        <v>10</v>
      </c>
      <c r="B15" s="81"/>
      <c r="C15" s="81"/>
      <c r="D15" s="80"/>
      <c r="E15" s="80"/>
      <c r="F15" s="80" t="str">
        <f aca="false">IF(E15="","",IF(E15&lt;2.5,"Chưa đạt",IF(E15&lt;=3.2,"Đạt",IF(E15&lt;=4,"Tốt","Rất tốt"))))</f>
        <v/>
      </c>
      <c r="G15" s="80" t="str">
        <f aca="false">IF(E15="","",_xludf.rank.eq(E15,$E$6:$E$35,0))</f>
        <v/>
      </c>
      <c r="H15" s="81"/>
      <c r="J15" s="82" t="e">
        <f aca="false">'đánh giá hiệu suất p2'!#ref!</f>
        <v>#VALUE!</v>
      </c>
      <c r="K15" s="82" t="e">
        <f aca="false">'đánh giá hiệu suất p2'!#ref!</f>
        <v>#VALUE!</v>
      </c>
      <c r="M15" s="82" t="e">
        <f aca="false">'đánh giá hiệu suất p2'!#ref!</f>
        <v>#VALUE!</v>
      </c>
      <c r="N15" s="82" t="n">
        <f aca="false">'ĐÁNH GIÁ HIỆU SUẤT P2'!B20</f>
        <v>0</v>
      </c>
    </row>
    <row r="16" customFormat="false" ht="14.25" hidden="false" customHeight="false" outlineLevel="0" collapsed="false">
      <c r="A16" s="80" t="n">
        <v>11</v>
      </c>
      <c r="B16" s="81"/>
      <c r="C16" s="81"/>
      <c r="D16" s="80"/>
      <c r="E16" s="80"/>
      <c r="F16" s="80" t="str">
        <f aca="false">IF(E16="","",IF(E16&lt;2.5,"Chưa đạt",IF(E16&lt;=3.2,"Đạt",IF(E16&lt;=4,"Tốt","Rất tốt"))))</f>
        <v/>
      </c>
      <c r="G16" s="80" t="str">
        <f aca="false">IF(E16="","",_xludf.rank.eq(E16,$E$6:$E$35,0))</f>
        <v/>
      </c>
      <c r="H16" s="81"/>
      <c r="J16" s="82" t="e">
        <f aca="false">'đánh giá hiệu suất p2'!#ref!</f>
        <v>#VALUE!</v>
      </c>
      <c r="K16" s="82" t="e">
        <f aca="false">'đánh giá hiệu suất p2'!#ref!</f>
        <v>#VALUE!</v>
      </c>
      <c r="M16" s="82" t="e">
        <f aca="false">'đánh giá hiệu suất p2'!#ref!</f>
        <v>#VALUE!</v>
      </c>
      <c r="N16" s="82" t="n">
        <f aca="false">'ĐÁNH GIÁ HIỆU SUẤT P2'!B20</f>
        <v>0</v>
      </c>
    </row>
    <row r="17" customFormat="false" ht="14.25" hidden="false" customHeight="false" outlineLevel="0" collapsed="false">
      <c r="A17" s="80" t="n">
        <v>12</v>
      </c>
      <c r="B17" s="81"/>
      <c r="C17" s="81"/>
      <c r="D17" s="80"/>
      <c r="E17" s="80"/>
      <c r="F17" s="80" t="str">
        <f aca="false">IF(E17="","",IF(E17&lt;2.5,"Chưa đạt",IF(E17&lt;=3.2,"Đạt",IF(E17&lt;=4,"Tốt","Rất tốt"))))</f>
        <v/>
      </c>
      <c r="G17" s="80" t="str">
        <f aca="false">IF(E17="","",_xludf.rank.eq(E17,$E$6:$E$35,0))</f>
        <v/>
      </c>
      <c r="H17" s="81"/>
      <c r="J17" s="82" t="e">
        <f aca="false">'đánh giá hiệu suất p2'!#ref!</f>
        <v>#VALUE!</v>
      </c>
      <c r="K17" s="82" t="e">
        <f aca="false">'đánh giá hiệu suất p2'!#ref!</f>
        <v>#VALUE!</v>
      </c>
      <c r="M17" s="82" t="e">
        <f aca="false">'đánh giá hiệu suất p2'!#ref!</f>
        <v>#VALUE!</v>
      </c>
      <c r="N17" s="82" t="n">
        <f aca="false">'ĐÁNH GIÁ HIỆU SUẤT P2'!B20</f>
        <v>0</v>
      </c>
    </row>
    <row r="18" customFormat="false" ht="14.25" hidden="false" customHeight="false" outlineLevel="0" collapsed="false">
      <c r="A18" s="80" t="n">
        <v>13</v>
      </c>
      <c r="B18" s="81"/>
      <c r="C18" s="81"/>
      <c r="D18" s="80"/>
      <c r="E18" s="80"/>
      <c r="F18" s="80" t="str">
        <f aca="false">IF(E18="","",IF(E18&lt;2.5,"Chưa đạt",IF(E18&lt;=3.2,"Đạt",IF(E18&lt;=4,"Tốt","Rất tốt"))))</f>
        <v/>
      </c>
      <c r="G18" s="80" t="str">
        <f aca="false">IF(E18="","",_xludf.rank.eq(E18,$E$6:$E$35,0))</f>
        <v/>
      </c>
      <c r="H18" s="81"/>
      <c r="J18" s="82" t="e">
        <f aca="false">'đánh giá hiệu suất p2'!#ref!</f>
        <v>#VALUE!</v>
      </c>
      <c r="K18" s="82" t="e">
        <f aca="false">'đánh giá hiệu suất p2'!#ref!</f>
        <v>#VALUE!</v>
      </c>
      <c r="M18" s="82" t="e">
        <f aca="false">'đánh giá hiệu suất p2'!#ref!</f>
        <v>#VALUE!</v>
      </c>
      <c r="N18" s="82" t="n">
        <f aca="false">'ĐÁNH GIÁ HIỆU SUẤT P2'!B20</f>
        <v>0</v>
      </c>
    </row>
    <row r="19" customFormat="false" ht="14.25" hidden="false" customHeight="false" outlineLevel="0" collapsed="false">
      <c r="A19" s="80" t="n">
        <v>14</v>
      </c>
      <c r="B19" s="81"/>
      <c r="C19" s="81"/>
      <c r="D19" s="80"/>
      <c r="E19" s="80"/>
      <c r="F19" s="80" t="str">
        <f aca="false">IF(E19="","",IF(E19&lt;2.5,"Chưa đạt",IF(E19&lt;=3.2,"Đạt",IF(E19&lt;=4,"Tốt","Rất tốt"))))</f>
        <v/>
      </c>
      <c r="G19" s="80" t="str">
        <f aca="false">IF(E19="","",_xludf.rank.eq(E19,$E$6:$E$35,0))</f>
        <v/>
      </c>
      <c r="H19" s="81"/>
      <c r="J19" s="82" t="e">
        <f aca="false">'đánh giá hiệu suất p2'!#ref!</f>
        <v>#VALUE!</v>
      </c>
      <c r="K19" s="82" t="e">
        <f aca="false">'đánh giá hiệu suất p2'!#ref!</f>
        <v>#VALUE!</v>
      </c>
      <c r="M19" s="82" t="e">
        <f aca="false">'đánh giá hiệu suất p2'!#ref!</f>
        <v>#VALUE!</v>
      </c>
      <c r="N19" s="82" t="n">
        <f aca="false">'ĐÁNH GIÁ HIỆU SUẤT P2'!B20</f>
        <v>0</v>
      </c>
    </row>
    <row r="20" customFormat="false" ht="14.25" hidden="false" customHeight="false" outlineLevel="0" collapsed="false">
      <c r="A20" s="80" t="n">
        <v>15</v>
      </c>
      <c r="B20" s="81"/>
      <c r="C20" s="81"/>
      <c r="D20" s="80"/>
      <c r="E20" s="80"/>
      <c r="F20" s="80" t="str">
        <f aca="false">IF(E20="","",IF(E20&lt;2.5,"Chưa đạt",IF(E20&lt;=3.2,"Đạt",IF(E20&lt;=4,"Tốt","Rất tốt"))))</f>
        <v/>
      </c>
      <c r="G20" s="80" t="str">
        <f aca="false">IF(E20="","",_xludf.rank.eq(E20,$E$6:$E$35,0))</f>
        <v/>
      </c>
      <c r="H20" s="81"/>
      <c r="J20" s="82" t="e">
        <f aca="false">'đánh giá hiệu suất p2'!#ref!</f>
        <v>#VALUE!</v>
      </c>
      <c r="K20" s="82" t="e">
        <f aca="false">'đánh giá hiệu suất p2'!#ref!</f>
        <v>#VALUE!</v>
      </c>
      <c r="M20" s="82" t="e">
        <f aca="false">'đánh giá hiệu suất p2'!#ref!</f>
        <v>#VALUE!</v>
      </c>
      <c r="N20" s="82" t="n">
        <f aca="false">'ĐÁNH GIÁ HIỆU SUẤT P2'!B20</f>
        <v>0</v>
      </c>
    </row>
    <row r="21" customFormat="false" ht="14.25" hidden="false" customHeight="false" outlineLevel="0" collapsed="false">
      <c r="A21" s="80" t="n">
        <v>16</v>
      </c>
      <c r="B21" s="81"/>
      <c r="C21" s="81"/>
      <c r="D21" s="80"/>
      <c r="E21" s="80"/>
      <c r="F21" s="80" t="str">
        <f aca="false">IF(E21="","",IF(E21&lt;2.5,"Chưa đạt",IF(E21&lt;=3.2,"Đạt",IF(E21&lt;=4,"Tốt","Rất tốt"))))</f>
        <v/>
      </c>
      <c r="G21" s="80" t="str">
        <f aca="false">IF(E21="","",_xludf.rank.eq(E21,$E$6:$E$35,0))</f>
        <v/>
      </c>
      <c r="H21" s="81"/>
      <c r="J21" s="82" t="e">
        <f aca="false">'đánh giá hiệu suất p2'!#ref!</f>
        <v>#VALUE!</v>
      </c>
      <c r="K21" s="82" t="e">
        <f aca="false">'đánh giá hiệu suất p2'!#ref!</f>
        <v>#VALUE!</v>
      </c>
      <c r="M21" s="82" t="e">
        <f aca="false">'đánh giá hiệu suất p2'!#ref!</f>
        <v>#VALUE!</v>
      </c>
      <c r="N21" s="82" t="n">
        <f aca="false">'ĐÁNH GIÁ HIỆU SUẤT P2'!B20</f>
        <v>0</v>
      </c>
    </row>
    <row r="22" customFormat="false" ht="14.25" hidden="false" customHeight="false" outlineLevel="0" collapsed="false">
      <c r="A22" s="80" t="n">
        <v>17</v>
      </c>
      <c r="B22" s="81"/>
      <c r="C22" s="81"/>
      <c r="D22" s="80"/>
      <c r="E22" s="80"/>
      <c r="F22" s="80" t="str">
        <f aca="false">IF(E22="","",IF(E22&lt;2.5,"Chưa đạt",IF(E22&lt;=3.2,"Đạt",IF(E22&lt;=4,"Tốt","Rất tốt"))))</f>
        <v/>
      </c>
      <c r="G22" s="80" t="str">
        <f aca="false">IF(E22="","",_xludf.rank.eq(E22,$E$6:$E$35,0))</f>
        <v/>
      </c>
      <c r="H22" s="81"/>
      <c r="J22" s="82" t="e">
        <f aca="false">'đánh giá hiệu suất p2'!#ref!</f>
        <v>#VALUE!</v>
      </c>
      <c r="K22" s="82" t="e">
        <f aca="false">'đánh giá hiệu suất p2'!#ref!</f>
        <v>#VALUE!</v>
      </c>
      <c r="M22" s="82" t="e">
        <f aca="false">'đánh giá hiệu suất p2'!#ref!</f>
        <v>#VALUE!</v>
      </c>
      <c r="N22" s="82" t="n">
        <f aca="false">'ĐÁNH GIÁ HIỆU SUẤT P2'!B20</f>
        <v>0</v>
      </c>
    </row>
    <row r="23" customFormat="false" ht="14.25" hidden="false" customHeight="false" outlineLevel="0" collapsed="false">
      <c r="A23" s="80" t="n">
        <v>18</v>
      </c>
      <c r="B23" s="81"/>
      <c r="C23" s="81"/>
      <c r="D23" s="80"/>
      <c r="E23" s="80"/>
      <c r="F23" s="80" t="str">
        <f aca="false">IF(E23="","",IF(E23&lt;2.5,"Chưa đạt",IF(E23&lt;=3.2,"Đạt",IF(E23&lt;=4,"Tốt","Rất tốt"))))</f>
        <v/>
      </c>
      <c r="G23" s="80" t="str">
        <f aca="false">IF(E23="","",_xludf.rank.eq(E23,$E$6:$E$35,0))</f>
        <v/>
      </c>
      <c r="H23" s="81"/>
      <c r="J23" s="82" t="e">
        <f aca="false">'đánh giá hiệu suất p2'!#ref!</f>
        <v>#VALUE!</v>
      </c>
      <c r="K23" s="82" t="e">
        <f aca="false">'đánh giá hiệu suất p2'!#ref!</f>
        <v>#VALUE!</v>
      </c>
      <c r="M23" s="82" t="e">
        <f aca="false">'đánh giá hiệu suất p2'!#ref!</f>
        <v>#VALUE!</v>
      </c>
      <c r="N23" s="82" t="n">
        <f aca="false">'ĐÁNH GIÁ HIỆU SUẤT P2'!B20</f>
        <v>0</v>
      </c>
    </row>
    <row r="24" customFormat="false" ht="14.25" hidden="false" customHeight="false" outlineLevel="0" collapsed="false">
      <c r="A24" s="80" t="n">
        <v>19</v>
      </c>
      <c r="B24" s="81"/>
      <c r="C24" s="81"/>
      <c r="D24" s="80"/>
      <c r="E24" s="80"/>
      <c r="F24" s="80" t="str">
        <f aca="false">IF(E24="","",IF(E24&lt;2.5,"Chưa đạt",IF(E24&lt;=3.2,"Đạt",IF(E24&lt;=4,"Tốt","Rất tốt"))))</f>
        <v/>
      </c>
      <c r="G24" s="80" t="str">
        <f aca="false">IF(E24="","",_xludf.rank.eq(E24,$E$6:$E$35,0))</f>
        <v/>
      </c>
      <c r="H24" s="81"/>
      <c r="J24" s="82" t="e">
        <f aca="false">'đánh giá hiệu suất p2'!#ref!</f>
        <v>#VALUE!</v>
      </c>
      <c r="K24" s="82" t="e">
        <f aca="false">'đánh giá hiệu suất p2'!#ref!</f>
        <v>#VALUE!</v>
      </c>
      <c r="M24" s="82" t="e">
        <f aca="false">'đánh giá hiệu suất p2'!#ref!</f>
        <v>#VALUE!</v>
      </c>
      <c r="N24" s="82" t="n">
        <f aca="false">'ĐÁNH GIÁ HIỆU SUẤT P2'!B20</f>
        <v>0</v>
      </c>
    </row>
    <row r="25" customFormat="false" ht="14.25" hidden="false" customHeight="false" outlineLevel="0" collapsed="false">
      <c r="A25" s="80" t="n">
        <v>20</v>
      </c>
      <c r="B25" s="81"/>
      <c r="C25" s="81"/>
      <c r="D25" s="80"/>
      <c r="E25" s="80"/>
      <c r="F25" s="80" t="str">
        <f aca="false">IF(E25="","",IF(E25&lt;2.5,"Chưa đạt",IF(E25&lt;=3.2,"Đạt",IF(E25&lt;=4,"Tốt","Rất tốt"))))</f>
        <v/>
      </c>
      <c r="G25" s="80" t="str">
        <f aca="false">IF(E25="","",_xludf.rank.eq(E25,$E$6:$E$35,0))</f>
        <v/>
      </c>
      <c r="H25" s="81"/>
      <c r="J25" s="82" t="e">
        <f aca="false">'đánh giá hiệu suất p2'!#ref!</f>
        <v>#VALUE!</v>
      </c>
      <c r="K25" s="82" t="e">
        <f aca="false">'đánh giá hiệu suất p2'!#ref!</f>
        <v>#VALUE!</v>
      </c>
      <c r="M25" s="82" t="e">
        <f aca="false">'đánh giá hiệu suất p2'!#ref!</f>
        <v>#VALUE!</v>
      </c>
      <c r="N25" s="82" t="n">
        <f aca="false">'ĐÁNH GIÁ HIỆU SUẤT P2'!B20</f>
        <v>0</v>
      </c>
    </row>
    <row r="26" customFormat="false" ht="14.25" hidden="false" customHeight="false" outlineLevel="0" collapsed="false">
      <c r="A26" s="80" t="n">
        <v>21</v>
      </c>
      <c r="B26" s="81"/>
      <c r="C26" s="81"/>
      <c r="D26" s="80"/>
      <c r="E26" s="80"/>
      <c r="F26" s="80" t="str">
        <f aca="false">IF(E26="","",IF(E26&lt;2.5,"Chưa đạt",IF(E26&lt;=3.2,"Đạt",IF(E26&lt;=4,"Tốt","Rất tốt"))))</f>
        <v/>
      </c>
      <c r="G26" s="80" t="str">
        <f aca="false">IF(E26="","",_xludf.rank.eq(E26,$E$6:$E$35,0))</f>
        <v/>
      </c>
      <c r="H26" s="81"/>
      <c r="J26" s="82" t="e">
        <f aca="false">'đánh giá hiệu suất p2'!#ref!</f>
        <v>#VALUE!</v>
      </c>
      <c r="K26" s="82" t="e">
        <f aca="false">'đánh giá hiệu suất p2'!#ref!</f>
        <v>#VALUE!</v>
      </c>
      <c r="M26" s="82" t="e">
        <f aca="false">'đánh giá hiệu suất p2'!#ref!</f>
        <v>#VALUE!</v>
      </c>
      <c r="N26" s="82" t="n">
        <f aca="false">'ĐÁNH GIÁ HIỆU SUẤT P2'!B20</f>
        <v>0</v>
      </c>
    </row>
    <row r="27" customFormat="false" ht="14.25" hidden="false" customHeight="false" outlineLevel="0" collapsed="false">
      <c r="A27" s="80" t="n">
        <v>22</v>
      </c>
      <c r="B27" s="81"/>
      <c r="C27" s="81"/>
      <c r="D27" s="80"/>
      <c r="E27" s="80"/>
      <c r="F27" s="80" t="str">
        <f aca="false">IF(E27="","",IF(E27&lt;2.5,"Chưa đạt",IF(E27&lt;=3.2,"Đạt",IF(E27&lt;=4,"Tốt","Rất tốt"))))</f>
        <v/>
      </c>
      <c r="G27" s="80" t="str">
        <f aca="false">IF(E27="","",_xludf.rank.eq(E27,$E$6:$E$35,0))</f>
        <v/>
      </c>
      <c r="H27" s="81"/>
      <c r="J27" s="82" t="e">
        <f aca="false">'đánh giá hiệu suất p2'!#ref!</f>
        <v>#VALUE!</v>
      </c>
      <c r="K27" s="82" t="e">
        <f aca="false">'đánh giá hiệu suất p2'!#ref!</f>
        <v>#VALUE!</v>
      </c>
      <c r="M27" s="82" t="e">
        <f aca="false">'đánh giá hiệu suất p2'!#ref!</f>
        <v>#VALUE!</v>
      </c>
      <c r="N27" s="82" t="n">
        <f aca="false">'ĐÁNH GIÁ HIỆU SUẤT P2'!B20</f>
        <v>0</v>
      </c>
    </row>
    <row r="28" customFormat="false" ht="14.25" hidden="false" customHeight="false" outlineLevel="0" collapsed="false">
      <c r="A28" s="80" t="n">
        <v>23</v>
      </c>
      <c r="B28" s="81"/>
      <c r="C28" s="81"/>
      <c r="D28" s="80"/>
      <c r="E28" s="80"/>
      <c r="F28" s="80" t="str">
        <f aca="false">IF(E28="","",IF(E28&lt;2.5,"Chưa đạt",IF(E28&lt;=3.2,"Đạt",IF(E28&lt;=4,"Tốt","Rất tốt"))))</f>
        <v/>
      </c>
      <c r="G28" s="80" t="str">
        <f aca="false">IF(E28="","",_xludf.rank.eq(E28,$E$6:$E$35,0))</f>
        <v/>
      </c>
      <c r="H28" s="81"/>
      <c r="J28" s="82" t="e">
        <f aca="false">'đánh giá hiệu suất p2'!#ref!</f>
        <v>#VALUE!</v>
      </c>
      <c r="K28" s="82" t="e">
        <f aca="false">'đánh giá hiệu suất p2'!#ref!</f>
        <v>#VALUE!</v>
      </c>
      <c r="M28" s="82" t="e">
        <f aca="false">'đánh giá hiệu suất p2'!#ref!</f>
        <v>#VALUE!</v>
      </c>
      <c r="N28" s="82" t="n">
        <f aca="false">'ĐÁNH GIÁ HIỆU SUẤT P2'!B20</f>
        <v>0</v>
      </c>
    </row>
    <row r="29" customFormat="false" ht="14.25" hidden="false" customHeight="false" outlineLevel="0" collapsed="false">
      <c r="A29" s="80" t="n">
        <v>24</v>
      </c>
      <c r="B29" s="81"/>
      <c r="C29" s="81"/>
      <c r="D29" s="80"/>
      <c r="E29" s="80"/>
      <c r="F29" s="80" t="str">
        <f aca="false">IF(E29="","",IF(E29&lt;2.5,"Chưa đạt",IF(E29&lt;=3.2,"Đạt",IF(E29&lt;=4,"Tốt","Rất tốt"))))</f>
        <v/>
      </c>
      <c r="G29" s="80" t="str">
        <f aca="false">IF(E29="","",_xludf.rank.eq(E29,$E$6:$E$35,0))</f>
        <v/>
      </c>
      <c r="H29" s="81"/>
      <c r="J29" s="82" t="e">
        <f aca="false">'đánh giá hiệu suất p2'!#ref!</f>
        <v>#VALUE!</v>
      </c>
      <c r="K29" s="82" t="e">
        <f aca="false">'đánh giá hiệu suất p2'!#ref!</f>
        <v>#VALUE!</v>
      </c>
      <c r="M29" s="82" t="e">
        <f aca="false">'đánh giá hiệu suất p2'!#ref!</f>
        <v>#VALUE!</v>
      </c>
      <c r="N29" s="82" t="n">
        <f aca="false">'ĐÁNH GIÁ HIỆU SUẤT P2'!B20</f>
        <v>0</v>
      </c>
    </row>
    <row r="30" customFormat="false" ht="14.25" hidden="false" customHeight="false" outlineLevel="0" collapsed="false">
      <c r="A30" s="80" t="n">
        <v>25</v>
      </c>
      <c r="B30" s="81"/>
      <c r="C30" s="81"/>
      <c r="D30" s="80"/>
      <c r="E30" s="80"/>
      <c r="F30" s="80" t="str">
        <f aca="false">IF(E30="","",IF(E30&lt;2.5,"Chưa đạt",IF(E30&lt;=3.2,"Đạt",IF(E30&lt;=4,"Tốt","Rất tốt"))))</f>
        <v/>
      </c>
      <c r="G30" s="80" t="str">
        <f aca="false">IF(E30="","",_xludf.rank.eq(E30,$E$6:$E$35,0))</f>
        <v/>
      </c>
      <c r="H30" s="81"/>
      <c r="J30" s="82" t="e">
        <f aca="false">'đánh giá hiệu suất p2'!#ref!</f>
        <v>#VALUE!</v>
      </c>
      <c r="K30" s="82" t="e">
        <f aca="false">'đánh giá hiệu suất p2'!#ref!</f>
        <v>#VALUE!</v>
      </c>
      <c r="M30" s="82" t="e">
        <f aca="false">'đánh giá hiệu suất p2'!#ref!</f>
        <v>#VALUE!</v>
      </c>
      <c r="N30" s="82" t="n">
        <f aca="false">'ĐÁNH GIÁ HIỆU SUẤT P2'!B20</f>
        <v>0</v>
      </c>
    </row>
    <row r="31" customFormat="false" ht="14.25" hidden="false" customHeight="false" outlineLevel="0" collapsed="false">
      <c r="A31" s="80" t="n">
        <v>26</v>
      </c>
      <c r="B31" s="81"/>
      <c r="C31" s="81"/>
      <c r="D31" s="80"/>
      <c r="E31" s="80"/>
      <c r="F31" s="80" t="str">
        <f aca="false">IF(E31="","",IF(E31&lt;2.5,"Chưa đạt",IF(E31&lt;=3.2,"Đạt",IF(E31&lt;=4,"Tốt","Rất tốt"))))</f>
        <v/>
      </c>
      <c r="G31" s="80" t="str">
        <f aca="false">IF(E31="","",_xludf.rank.eq(E31,$E$6:$E$35,0))</f>
        <v/>
      </c>
      <c r="H31" s="81"/>
      <c r="J31" s="82" t="e">
        <f aca="false">'đánh giá hiệu suất p2'!#ref!</f>
        <v>#VALUE!</v>
      </c>
      <c r="K31" s="82" t="e">
        <f aca="false">'đánh giá hiệu suất p2'!#ref!</f>
        <v>#VALUE!</v>
      </c>
      <c r="M31" s="82" t="e">
        <f aca="false">'đánh giá hiệu suất p2'!#ref!</f>
        <v>#VALUE!</v>
      </c>
      <c r="N31" s="82" t="n">
        <f aca="false">'ĐÁNH GIÁ HIỆU SUẤT P2'!B20</f>
        <v>0</v>
      </c>
    </row>
    <row r="32" customFormat="false" ht="14.25" hidden="false" customHeight="false" outlineLevel="0" collapsed="false">
      <c r="A32" s="80" t="n">
        <v>27</v>
      </c>
      <c r="B32" s="81"/>
      <c r="C32" s="81"/>
      <c r="D32" s="80"/>
      <c r="E32" s="80"/>
      <c r="F32" s="80" t="str">
        <f aca="false">IF(E32="","",IF(E32&lt;2.5,"Chưa đạt",IF(E32&lt;=3.2,"Đạt",IF(E32&lt;=4,"Tốt","Rất tốt"))))</f>
        <v/>
      </c>
      <c r="G32" s="80" t="str">
        <f aca="false">IF(E32="","",_xludf.rank.eq(E32,$E$6:$E$35,0))</f>
        <v/>
      </c>
      <c r="H32" s="81"/>
      <c r="J32" s="82" t="e">
        <f aca="false">'đánh giá hiệu suất p2'!#ref!</f>
        <v>#VALUE!</v>
      </c>
      <c r="K32" s="82" t="e">
        <f aca="false">'đánh giá hiệu suất p2'!#ref!</f>
        <v>#VALUE!</v>
      </c>
      <c r="M32" s="82" t="e">
        <f aca="false">'đánh giá hiệu suất p2'!#ref!</f>
        <v>#VALUE!</v>
      </c>
      <c r="N32" s="82" t="n">
        <f aca="false">'ĐÁNH GIÁ HIỆU SUẤT P2'!B20</f>
        <v>0</v>
      </c>
    </row>
    <row r="33" customFormat="false" ht="14.25" hidden="false" customHeight="false" outlineLevel="0" collapsed="false">
      <c r="A33" s="80" t="n">
        <v>28</v>
      </c>
      <c r="B33" s="81"/>
      <c r="C33" s="81"/>
      <c r="D33" s="80"/>
      <c r="E33" s="80"/>
      <c r="F33" s="80" t="str">
        <f aca="false">IF(E33="","",IF(E33&lt;2.5,"Chưa đạt",IF(E33&lt;=3.2,"Đạt",IF(E33&lt;=4,"Tốt","Rất tốt"))))</f>
        <v/>
      </c>
      <c r="G33" s="80" t="str">
        <f aca="false">IF(E33="","",_xludf.rank.eq(E33,$E$6:$E$35,0))</f>
        <v/>
      </c>
      <c r="H33" s="81"/>
      <c r="J33" s="82" t="e">
        <f aca="false">'đánh giá hiệu suất p2'!#ref!</f>
        <v>#VALUE!</v>
      </c>
      <c r="K33" s="82" t="e">
        <f aca="false">'đánh giá hiệu suất p2'!#ref!</f>
        <v>#VALUE!</v>
      </c>
      <c r="M33" s="82" t="e">
        <f aca="false">'đánh giá hiệu suất p2'!#ref!</f>
        <v>#VALUE!</v>
      </c>
      <c r="N33" s="82" t="n">
        <f aca="false">'ĐÁNH GIÁ HIỆU SUẤT P2'!B20</f>
        <v>0</v>
      </c>
    </row>
    <row r="34" customFormat="false" ht="14.25" hidden="false" customHeight="false" outlineLevel="0" collapsed="false">
      <c r="A34" s="80" t="n">
        <v>29</v>
      </c>
      <c r="B34" s="81"/>
      <c r="C34" s="81"/>
      <c r="D34" s="80"/>
      <c r="E34" s="80"/>
      <c r="F34" s="80" t="str">
        <f aca="false">IF(E34="","",IF(E34&lt;2.5,"Chưa đạt",IF(E34&lt;=3.2,"Đạt",IF(E34&lt;=4,"Tốt","Rất tốt"))))</f>
        <v/>
      </c>
      <c r="G34" s="80" t="str">
        <f aca="false">IF(E34="","",_xludf.rank.eq(E34,$E$6:$E$35,0))</f>
        <v/>
      </c>
      <c r="H34" s="81"/>
      <c r="J34" s="82" t="e">
        <f aca="false">'đánh giá hiệu suất p2'!#ref!</f>
        <v>#VALUE!</v>
      </c>
      <c r="K34" s="82" t="e">
        <f aca="false">'đánh giá hiệu suất p2'!#ref!</f>
        <v>#VALUE!</v>
      </c>
      <c r="M34" s="82" t="e">
        <f aca="false">'đánh giá hiệu suất p2'!#ref!</f>
        <v>#VALUE!</v>
      </c>
      <c r="N34" s="82" t="n">
        <f aca="false">'ĐÁNH GIÁ HIỆU SUẤT P2'!B20</f>
        <v>0</v>
      </c>
    </row>
    <row r="35" customFormat="false" ht="14.25" hidden="false" customHeight="false" outlineLevel="0" collapsed="false">
      <c r="A35" s="80" t="n">
        <v>30</v>
      </c>
      <c r="B35" s="81"/>
      <c r="C35" s="81"/>
      <c r="D35" s="80"/>
      <c r="E35" s="80"/>
      <c r="F35" s="80" t="str">
        <f aca="false">IF(E35="","",IF(E35&lt;2.5,"Chưa đạt",IF(E35&lt;=3.2,"Đạt",IF(E35&lt;=4,"Tốt","Rất tốt"))))</f>
        <v/>
      </c>
      <c r="G35" s="80" t="str">
        <f aca="false">IF(E35="","",_xludf.rank.eq(E35,$E$6:$E$35,0))</f>
        <v/>
      </c>
      <c r="H35" s="81"/>
      <c r="J35" s="82" t="e">
        <f aca="false">'đánh giá hiệu suất p2'!#ref!</f>
        <v>#VALUE!</v>
      </c>
      <c r="K35" s="82" t="e">
        <f aca="false">'đánh giá hiệu suất p2'!#ref!</f>
        <v>#VALUE!</v>
      </c>
      <c r="M35" s="82" t="e">
        <f aca="false">'đánh giá hiệu suất p2'!#ref!</f>
        <v>#VALUE!</v>
      </c>
      <c r="N35" s="82" t="n">
        <f aca="false">'ĐÁNH GIÁ HIỆU SUẤT P2'!B20</f>
        <v>0</v>
      </c>
    </row>
  </sheetData>
  <mergeCells count="2">
    <mergeCell ref="A1:H1"/>
    <mergeCell ref="A3:H3"/>
  </mergeCells>
  <conditionalFormatting sqref="E6:E35">
    <cfRule type="cellIs" priority="2" operator="lessThan" aboveAverage="0" equalAverage="0" bottom="0" percent="0" rank="0" text="" dxfId="15">
      <formula>2.5</formula>
    </cfRule>
    <cfRule type="cellIs" priority="3" operator="between" aboveAverage="0" equalAverage="0" bottom="0" percent="0" rank="0" text="" dxfId="16">
      <formula>2.5</formula>
      <formula>3.2</formula>
    </cfRule>
    <cfRule type="cellIs" priority="4" operator="between" aboveAverage="0" equalAverage="0" bottom="0" percent="0" rank="0" text="" dxfId="17">
      <formula>3.3</formula>
      <formula>4</formula>
    </cfRule>
    <cfRule type="cellIs" priority="5" operator="greaterThan" aboveAverage="0" equalAverage="0" bottom="0" percent="0" rank="0" text="" dxfId="18">
      <formula>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2026-01-27T07:04:19Z</dcterms:created>
  <dc:creator>openpyxl</dc:creator>
  <dc:description/>
  <dc:language>en-US</dc:language>
  <cp:lastModifiedBy/>
  <cp:lastPrinted>2026-02-27T01:47:28Z</cp:lastPrinted>
  <dcterms:modified xsi:type="dcterms:W3CDTF">2026-05-06T14:53:10Z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