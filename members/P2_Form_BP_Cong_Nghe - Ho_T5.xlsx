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F:\iNET-Work\GitlabiNET\project-management\members\"/>
    </mc:Choice>
  </mc:AlternateContent>
  <xr:revisionPtr revIDLastSave="0" documentId="13_ncr:1_{51B325AD-3C64-4F67-B693-15EEE387B06E}" xr6:coauthVersionLast="47" xr6:coauthVersionMax="47" xr10:uidLastSave="{00000000-0000-0000-0000-000000000000}"/>
  <bookViews>
    <workbookView xWindow="-120" yWindow="-120" windowWidth="29040" windowHeight="15840" tabRatio="645" activeTab="2" xr2:uid="{00000000-000D-0000-FFFF-FFFF00000000}"/>
  </bookViews>
  <sheets>
    <sheet name="TỔNG QUAN &amp; LƯU Ý" sheetId="1" r:id="rId1"/>
    <sheet name="CẤU TRÚC &amp; TRỌNG SỐ" sheetId="2" r:id="rId2"/>
    <sheet name="ĐÁNH GIÁ HIỆU SUẤT P2" sheetId="3" r:id="rId3"/>
    <sheet name="MÔ TẢ - PHỤ LỤC" sheetId="4" r:id="rId4"/>
    <sheet name="NHÂN SỰ" sheetId="6" r:id="rId5"/>
    <sheet name="Summary_Ranking" sheetId="5"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3" l="1"/>
  <c r="B8" i="3" s="1"/>
  <c r="N35" i="5"/>
  <c r="M35" i="5"/>
  <c r="K35" i="5"/>
  <c r="J35" i="5"/>
  <c r="G35" i="5"/>
  <c r="F35" i="5"/>
  <c r="N34" i="5"/>
  <c r="M34" i="5"/>
  <c r="K34" i="5"/>
  <c r="J34" i="5"/>
  <c r="G34" i="5"/>
  <c r="F34" i="5"/>
  <c r="N33" i="5"/>
  <c r="M33" i="5"/>
  <c r="K33" i="5"/>
  <c r="J33" i="5"/>
  <c r="G33" i="5"/>
  <c r="F33" i="5"/>
  <c r="N32" i="5"/>
  <c r="M32" i="5"/>
  <c r="K32" i="5"/>
  <c r="J32" i="5"/>
  <c r="G32" i="5"/>
  <c r="F32" i="5"/>
  <c r="N31" i="5"/>
  <c r="M31" i="5"/>
  <c r="K31" i="5"/>
  <c r="J31" i="5"/>
  <c r="G31" i="5"/>
  <c r="F31" i="5"/>
  <c r="N30" i="5"/>
  <c r="M30" i="5"/>
  <c r="K30" i="5"/>
  <c r="J30" i="5"/>
  <c r="G30" i="5"/>
  <c r="F30" i="5"/>
  <c r="N29" i="5"/>
  <c r="M29" i="5"/>
  <c r="K29" i="5"/>
  <c r="J29" i="5"/>
  <c r="G29" i="5"/>
  <c r="F29" i="5"/>
  <c r="N28" i="5"/>
  <c r="M28" i="5"/>
  <c r="K28" i="5"/>
  <c r="J28" i="5"/>
  <c r="G28" i="5"/>
  <c r="F28" i="5"/>
  <c r="N27" i="5"/>
  <c r="M27" i="5"/>
  <c r="K27" i="5"/>
  <c r="J27" i="5"/>
  <c r="G27" i="5"/>
  <c r="F27" i="5"/>
  <c r="N26" i="5"/>
  <c r="M26" i="5"/>
  <c r="K26" i="5"/>
  <c r="J26" i="5"/>
  <c r="G26" i="5"/>
  <c r="F26" i="5"/>
  <c r="N25" i="5"/>
  <c r="M25" i="5"/>
  <c r="K25" i="5"/>
  <c r="J25" i="5"/>
  <c r="G25" i="5"/>
  <c r="F25" i="5"/>
  <c r="N24" i="5"/>
  <c r="M24" i="5"/>
  <c r="K24" i="5"/>
  <c r="J24" i="5"/>
  <c r="G24" i="5"/>
  <c r="F24" i="5"/>
  <c r="N23" i="5"/>
  <c r="M23" i="5"/>
  <c r="K23" i="5"/>
  <c r="J23" i="5"/>
  <c r="G23" i="5"/>
  <c r="F23" i="5"/>
  <c r="N22" i="5"/>
  <c r="M22" i="5"/>
  <c r="K22" i="5"/>
  <c r="J22" i="5"/>
  <c r="G22" i="5"/>
  <c r="F22" i="5"/>
  <c r="N21" i="5"/>
  <c r="M21" i="5"/>
  <c r="K21" i="5"/>
  <c r="J21" i="5"/>
  <c r="G21" i="5"/>
  <c r="F21" i="5"/>
  <c r="N20" i="5"/>
  <c r="M20" i="5"/>
  <c r="K20" i="5"/>
  <c r="J20" i="5"/>
  <c r="G20" i="5"/>
  <c r="F20" i="5"/>
  <c r="N19" i="5"/>
  <c r="M19" i="5"/>
  <c r="K19" i="5"/>
  <c r="J19" i="5"/>
  <c r="G19" i="5"/>
  <c r="F19" i="5"/>
  <c r="N18" i="5"/>
  <c r="M18" i="5"/>
  <c r="K18" i="5"/>
  <c r="J18" i="5"/>
  <c r="G18" i="5"/>
  <c r="F18" i="5"/>
  <c r="N17" i="5"/>
  <c r="M17" i="5"/>
  <c r="K17" i="5"/>
  <c r="J17" i="5"/>
  <c r="G17" i="5"/>
  <c r="F17" i="5"/>
  <c r="N16" i="5"/>
  <c r="M16" i="5"/>
  <c r="K16" i="5"/>
  <c r="J16" i="5"/>
  <c r="G16" i="5"/>
  <c r="F16" i="5"/>
  <c r="N15" i="5"/>
  <c r="M15" i="5"/>
  <c r="K15" i="5"/>
  <c r="J15" i="5"/>
  <c r="G15" i="5"/>
  <c r="F15" i="5"/>
  <c r="N14" i="5"/>
  <c r="M14" i="5"/>
  <c r="K14" i="5"/>
  <c r="J14" i="5"/>
  <c r="G14" i="5"/>
  <c r="F14" i="5"/>
  <c r="N13" i="5"/>
  <c r="M13" i="5"/>
  <c r="K13" i="5"/>
  <c r="J13" i="5"/>
  <c r="G13" i="5"/>
  <c r="F13" i="5"/>
  <c r="N12" i="5"/>
  <c r="M12" i="5"/>
  <c r="K12" i="5"/>
  <c r="J12" i="5"/>
  <c r="G12" i="5"/>
  <c r="F12" i="5"/>
  <c r="N11" i="5"/>
  <c r="M11" i="5"/>
  <c r="K11" i="5"/>
  <c r="J11" i="5"/>
  <c r="G11" i="5"/>
  <c r="F11" i="5"/>
  <c r="N10" i="5"/>
  <c r="M10" i="5"/>
  <c r="K10" i="5"/>
  <c r="J10" i="5"/>
  <c r="G10" i="5"/>
  <c r="F10" i="5"/>
  <c r="N9" i="5"/>
  <c r="M9" i="5"/>
  <c r="K9" i="5"/>
  <c r="J9" i="5"/>
  <c r="G9" i="5"/>
  <c r="F9" i="5"/>
  <c r="N8" i="5"/>
  <c r="M8" i="5"/>
  <c r="K8" i="5"/>
  <c r="J8" i="5"/>
  <c r="G8" i="5"/>
  <c r="F8" i="5"/>
  <c r="N7" i="5"/>
  <c r="M7" i="5"/>
  <c r="K7" i="5"/>
  <c r="J7" i="5"/>
  <c r="G7" i="5"/>
  <c r="F7" i="5"/>
  <c r="N6" i="5"/>
  <c r="M6" i="5"/>
  <c r="K6" i="5"/>
  <c r="J6" i="5"/>
  <c r="G6" i="5"/>
  <c r="F6" i="5"/>
  <c r="C20" i="3"/>
  <c r="D11" i="3"/>
  <c r="D10" i="3"/>
  <c r="D9" i="3"/>
  <c r="D8" i="3"/>
  <c r="B9" i="3" l="1"/>
  <c r="B10" i="3"/>
  <c r="B11" i="3"/>
  <c r="D12" i="3"/>
  <c r="D13" i="3" s="1"/>
  <c r="B12" i="3" l="1"/>
  <c r="C23" i="3"/>
  <c r="C24" i="3" s="1"/>
</calcChain>
</file>

<file path=xl/sharedStrings.xml><?xml version="1.0" encoding="utf-8"?>
<sst xmlns="http://schemas.openxmlformats.org/spreadsheetml/2006/main" count="243" uniqueCount="181">
  <si>
    <t>CẤU TRÚC &amp; TRỌNG SỐ P2+</t>
  </si>
  <si>
    <t>I. CẤU TRÚC TỔNG THỂ P2+</t>
  </si>
  <si>
    <t>P2+ gồm 2 thành phần:</t>
  </si>
  <si>
    <t>A. P2-Core – Năng lực &amp; cách làm việc</t>
  </si>
  <si>
    <t xml:space="preserve">  • A. Năng lực kỹ thuật</t>
  </si>
  <si>
    <t xml:space="preserve">  • B. Ownership &amp; Trách nhiệm</t>
  </si>
  <si>
    <t xml:space="preserve">  • C. DevOps &amp; Vận hành</t>
  </si>
  <si>
    <t xml:space="preserve">  • D. AI Agent &amp; Cải tiến</t>
  </si>
  <si>
    <t>B. P2-Delivery – Kết quả công việc</t>
  </si>
  <si>
    <t xml:space="preserve">  • OKR/KPI tháng hoặc quý</t>
  </si>
  <si>
    <t xml:space="preserve">  • Chất lượng delivery</t>
  </si>
  <si>
    <t>II. CÁCH TÍNH ĐIỂM P2+</t>
  </si>
  <si>
    <t>P2+ là điểm đánh giá cuối cùng dùng để xếp loại năng lực.</t>
  </si>
  <si>
    <t>P2+ Tổng = (P2-Core × A) + (P2-Delivery × B)</t>
  </si>
  <si>
    <t>📌 Trong đó:</t>
  </si>
  <si>
    <t>P2-Core: phản ánh năng lực &amp; cách làm việc dài hạn</t>
  </si>
  <si>
    <t>P2-Delivery: phản ánh kết quả thực tế trong kỳ</t>
  </si>
  <si>
    <t>Trọng số A (Core) và B (Delivery): được điều chỉnh theo mục tiêu từng giai đoạn</t>
  </si>
  <si>
    <t>III. NGUYÊN TẮC ĐÁNH GIÁ (BẮT BUỘC TUÂN THỦ)</t>
  </si>
  <si>
    <t>1️⃣ Không chấm trùng nội dung</t>
  </si>
  <si>
    <t xml:space="preserve">  • P2-Core: chấm cách làm việc, năng lực, hành vi</t>
  </si>
  <si>
    <t xml:space="preserve">  • P2-Delivery: chấm kết quả đầu ra</t>
  </si>
  <si>
    <t xml:space="preserve">  • Ví dụ: Chủ động xử lý sự cố → P2-Core | Số lượng sự cố giảm → P2-Delivery</t>
  </si>
  <si>
    <t>2️⃣ OKR không thay thế năng lực</t>
  </si>
  <si>
    <t xml:space="preserve">  • Nhân sự có kết quả OKR cao nhưng vi phạm chuẩn kỹ thuật, gây rủi ro hệ thống hoặc ảnh hưởng đội nhóm sẽ không được xếp loại P2+ cao.</t>
  </si>
  <si>
    <t>3️⃣ Đánh giá theo mặt bằng chung</t>
  </si>
  <si>
    <t xml:space="preserve">  • Điểm số phản ánh mức độ ổn định và phổ biến</t>
  </si>
  <si>
    <t xml:space="preserve">  • Không đánh giá theo 1–2 tình huống nổi bật</t>
  </si>
  <si>
    <t>IV. TRỌNG SỐ THEO VAI TRÒ</t>
  </si>
  <si>
    <t>Vai trò</t>
  </si>
  <si>
    <t>Năng lực kỹ thuật</t>
  </si>
  <si>
    <t>Ownership &amp; trách nhiệm</t>
  </si>
  <si>
    <t>DevOps &amp; vận hành</t>
  </si>
  <si>
    <t>AI Agent &amp; cải tiến</t>
  </si>
  <si>
    <t>Design System</t>
  </si>
  <si>
    <t>Backend</t>
  </si>
  <si>
    <t>Frontend</t>
  </si>
  <si>
    <t>Fullstack</t>
  </si>
  <si>
    <t>V. NGƯỠNG XẾP LOẠI</t>
  </si>
  <si>
    <t>P2+ Tổng</t>
  </si>
  <si>
    <t>Xếp loại</t>
  </si>
  <si>
    <t>&lt; 1</t>
  </si>
  <si>
    <t>Chưa đạt</t>
  </si>
  <si>
    <t>1</t>
  </si>
  <si>
    <t>Đạt</t>
  </si>
  <si>
    <t>&gt; 1 và ≤ 1.2</t>
  </si>
  <si>
    <t>Tốt</t>
  </si>
  <si>
    <t>Level 2 Core</t>
  </si>
  <si>
    <t>Điểm</t>
  </si>
  <si>
    <t>Chưa Đạt</t>
  </si>
  <si>
    <t>Level 2 Delivery</t>
  </si>
  <si>
    <t>A &amp; B</t>
  </si>
  <si>
    <t>Trọng số (MAX 1)</t>
  </si>
  <si>
    <t>A (Core)</t>
  </si>
  <si>
    <t>B (Delivery)</t>
  </si>
  <si>
    <t>Weight Delivery</t>
  </si>
  <si>
    <t>OKR/KPI</t>
  </si>
  <si>
    <t>Chất lượng</t>
  </si>
  <si>
    <t>Cam kết</t>
  </si>
  <si>
    <t>P2+ - MÔ HÌNH ĐÁNH GIÁ NĂNG LỰC MỞ RỘNG</t>
  </si>
  <si>
    <t>P2+ là mô hình đánh giá năng lực mở rộng, trong đó kết quả thực hiện OKR/KPI được tích hợp như một thành phần của P2, thay vì tách thành P3 độc lập. Mục tiêu là đơn giản hóa quy trình, phản ánh đúng đặc thù công việc kỹ thuật và đảm bảo đánh giá cân bằng giữa năng lực dài hạn và kết quả ngắn hạn.</t>
  </si>
  <si>
    <t>👉 Lưu ý quan trọng:</t>
  </si>
  <si>
    <t>• Đây không phải "bỏ P3"
• Mà là biến thể có chủ đích, tích hợp OKR/KPI vào P2
• Giúp đánh giá toàn diện cả năng lực dài hạn (P2-Core) và kết quả ngắn hạn (P2-Delivery)</t>
  </si>
  <si>
    <t>P2 PERFORMANCE EVALUATION</t>
  </si>
  <si>
    <t>Họ và tên</t>
  </si>
  <si>
    <t>TRỊNH QUỐC HOÀN ĐẠT</t>
  </si>
  <si>
    <t>Kỳ đánh giá</t>
  </si>
  <si>
    <t>Người đánh giá</t>
  </si>
  <si>
    <t>NĂNG LỰC NỀN TẢNG (P2-Core – thang điểm từ 0.8 đến 1.0)</t>
  </si>
  <si>
    <t>Nhóm năng lực</t>
  </si>
  <si>
    <t>Trọng số (%)</t>
  </si>
  <si>
    <t>Mức hiện tại</t>
  </si>
  <si>
    <t>A. Năng lực kỹ thuật</t>
  </si>
  <si>
    <t>B. Ownership &amp; trách nhiệm</t>
  </si>
  <si>
    <t>C. DevOps &amp; vận hành (bắt buộc)</t>
  </si>
  <si>
    <t>D. AI Agent &amp; cải tiến (bắt buộc)</t>
  </si>
  <si>
    <t>TỔNG ĐIỂM</t>
  </si>
  <si>
    <t>ĐÁNH GIÁ P2-CORE</t>
  </si>
  <si>
    <t>KẾT QUẢ CÔNG VIỆC (P2-Delivery – thang điểm từ 0.8 đến 1.2)</t>
  </si>
  <si>
    <t>Tiêu chí</t>
  </si>
  <si>
    <t>Mô tả</t>
  </si>
  <si>
    <t>MỨC ĐÁNH GIÁ</t>
  </si>
  <si>
    <t>Mức độ hoàn thành OKR</t>
  </si>
  <si>
    <t>Tỷ lệ hoàn thành các mục tiêu đã cam kết trong kỳ đánh giá</t>
  </si>
  <si>
    <t>Chất lượng kết quả</t>
  </si>
  <si>
    <t>Ít lỗi nghiêm trọng; hạn chế làm lại; không gây rủi ro hệ thống</t>
  </si>
  <si>
    <t>Cam kết &amp; tiến độ</t>
  </si>
  <si>
    <t>Hoàn thành đúng hạn; chủ động báo sớm rủi ro; phối hợp tốt</t>
  </si>
  <si>
    <t>KẾT QUẢ HIỆU SUẤT P2</t>
  </si>
  <si>
    <t>ĐÁNH GIÁ TỔNG</t>
  </si>
  <si>
    <t>THANG ĐÁNH GIÁ CHI TIẾT (Level 1/Level 2/Level 3)</t>
  </si>
  <si>
    <t>Mức</t>
  </si>
  <si>
    <t>LEVEL 1</t>
  </si>
  <si>
    <t>Thực hiện được các phần việc rõ ràng khi có hướng dẫn; cần review thường xuyên; chất lượng chưa ổn định.</t>
  </si>
  <si>
    <t>LEVEL 2</t>
  </si>
  <si>
    <t>Tự triển khai độc lập; chất lượng ổn định, ít rework; chủ động xử lý rủi ro và cải thiện sản phẩm.</t>
  </si>
  <si>
    <t>LEVEL 3</t>
  </si>
  <si>
    <t>Extra: Không chỉ hoàn thành tốt phần việc cá nhân mà còn cải tiến sản phẩm, chuẩn hoá cách làm và lan toả kinh nghiệm cho nhóm.</t>
  </si>
  <si>
    <t>MÔ TẢ NĂNG LỰC THEO VAI TRÒ</t>
  </si>
  <si>
    <t>Gợi ý: dùng nút +/- (Outline) để thu gọn/mở rộng theo từng Vai trò. Cấp độ 1 (Thực thi – phối hợp): Làm tốt phần việc kỹ thuật của mình | Cấp độ 2 (Chủ động – cải tiến): Giải quyết bài toán xuyên hệ thống | Cấp độ 3 (Chuẩn hoá – dẫn dắt): Định hướng, tạo chuẩn, mở rộng</t>
  </si>
  <si>
    <t>Cấp độ 1</t>
  </si>
  <si>
    <t>Cấp độ 2</t>
  </si>
  <si>
    <t>Cấp độ 3</t>
  </si>
  <si>
    <t>Tự triển khai tính năng (API + DB); code dễ đọc; tests cơ bản; xử lý trường hợp lỗi không mong muốn xảy ra.</t>
  </si>
  <si>
    <t>Thiết kế kiến trúc/module gọn; cải thiện performance/security; tests chắc; nâng chất lượng qua review.</t>
  </si>
  <si>
    <t>Định hướng kiến trúc hệ thống có khả năng mở rộng; chủ động ngăn ngừa rủi ro và lỗi hệ thống; dẫn dắt cải tiến kỹ thuật lớn và hỗ trợ nâng cao năng lực đội ngũ.</t>
  </si>
  <si>
    <t>Bàn giao công việc ổn định; biết tách công việc thành các đầu việc rõ ràng; chịu trách nhiệm xử lý lỗi đến khi hoàn tất; chủ động báo sớm các rủi ro phát sinh.</t>
  </si>
  <si>
    <t>Chủ động quản lý phạm vi và rủi ro công việc; phối hợp hiệu quả với các bộ phận liên quan; giảm phát sinh làm lại nhờ yêu cầu và tài liệu được chuẩn bị rõ ràng.</t>
  </si>
  <si>
    <t>Cải tiến quy trình bàn giao công việc trong đội (tiêu chí hoàn thành, danh sách rà soát); xử lý các điểm nghẽn trong phối hợp giữa các nhóm; nâng cao khả năng dự báo và kiểm soát tiến độ chung.</t>
  </si>
  <si>
    <t>C. DevOps &amp; vận hành</t>
  </si>
  <si>
    <t>Thực hiện quy trình tích hợp và triển khai tự động; hiểu và sử dụng đúng cấu hình môi trường, thông tin bảo mật; theo dõi nhật ký và lỗi hệ thống; tham gia trực xử lý sự cố khi cần.</t>
  </si>
  <si>
    <t>Chủ động cải thiện quy trình triển khai (tối ưu hiệu năng, kiểm soát chất lượng); bổ sung theo dõi chỉ số và cảnh báo; thực hiện phương án quay lui khi có sự cố; nâng cao độ ổn định và rút ngắn thời gian khắc phục lỗi.</t>
  </si>
  <si>
    <t>Chuẩn hóa quy trình phát hành và giám sát hệ thống; xây dựng hướng dẫn vận hành và xử lý sự cố; chủ trì phân tích nguyên nhân sau sự cố; hướng dẫn và nâng cao năng lực vận hành cho đội ngũ.</t>
  </si>
  <si>
    <t>D. AI Agent &amp; cải tiến</t>
  </si>
  <si>
    <t>Sử dụng AI Agent để hỗ trợ code, chỉnh sửa code, viết kiểm thử và tìm lỗi; biết đặt yêu cầu rõ ràng; luôn kiểm tra lại kết quả trước khi áp dụng.</t>
  </si>
  <si>
    <t>Xây dựng mẫu yêu cầu và quy trình làm việc có thể tái sử dụng; dùng AI để hỗ trợ rà soát và tìm lỗi; theo dõi hiệu quả bằng các chỉ số như thời gian hoàn thành và tỷ lệ lỗi phát sinh.</t>
  </si>
  <si>
    <t>Dẫn dắt việc áp dụng AI trong kỹ thuật một cách có kiểm soát; đào tạo và hướng dẫn đội ngũ; tự động hóa các công việc lặp lại theo nguyên tắc an toàn, phân quyền và tuân thủ quy định nội bộ.</t>
  </si>
  <si>
    <t>Tự xây dựng luồng trải nghiệm và đặc tả giao diện; đảm bảo tính nhất quán về hình ảnh; bàn giao thiết kế rõ ràng để đội triển khai chính xác.</t>
  </si>
  <si>
    <t>Cải thiện khả năng sử dụng dựa trên nghiên cứu và đánh giá trải nghiệm; phát triển và mở rộng hệ thống thiết kế; giảm phát sinh làm lại nhờ đặc tả thiết kế rõ ràng.</t>
  </si>
  <si>
    <t>Định hướng thiết kế tổng thể; tạo ra tác động trải nghiệm người dùng có thể đo lường; quản trị và chuẩn hóa hệ thống thiết kế; hướng dẫn và kết nối các đội cùng áp dụng.</t>
  </si>
  <si>
    <t>Bàn giao công việc ổn định; xác định rõ phạm vi; lặp lại thiết kế kịp thời; phối hợp sớm với các bên triển khai để thống nhất ràng buộc.</t>
  </si>
  <si>
    <t>Quản lý các lựa chọn và đánh đổi trong thiết kế; chuẩn bị phương án thay thế; ghi nhận rõ các quyết định; giảm phát sinh làm lại thông qua rà soát thiết kế.</t>
  </si>
  <si>
    <t>Nâng chuẩn bàn giao thiết kế (tiêu chí hoàn thành, danh sách rà soát); tháo gỡ các vướng mắc phối hợp giữa các đội; nâng cao khả năng dự báo và kiểm soát tiến độ.</t>
  </si>
  <si>
    <t>Làm việc với môi trường preview và staging; sử dụng nhất quán các thành phần và chuẩn thiết kế; xây dựng đặc tả phù hợp với khả năng triển khai.</t>
  </si>
  <si>
    <t>Thúc đẩy áp dụng chuẩn thành phần thiết kế; cải thiện tự động hóa bàn giao thiết kế–triển khai; giảm lỗi tích hợp và công việc làm lại.</t>
  </si>
  <si>
    <t>Dẫn dắt chuẩn hóa quy trình thiết kế–triển khai với đội phát triển; xây dựng hướng dẫn và các thực hành tốt cho toàn đội.</t>
  </si>
  <si>
    <t>Sử dụng AI để hỗ trợ xây dựng khung thiết kế, nội dung trải nghiệm và phương án thiết kế; biết đặt yêu cầu phù hợp; kiểm tra và đối chiếu với hệ thống thiết kế hiện có.</t>
  </si>
  <si>
    <t>Xây dựng thư viện yêu cầu AI có thể tái sử dụng; tăng tốc tổng hợp nghiên cứu; theo dõi tác động của AI đến thời gian thực hiện và mức độ làm lại.</t>
  </si>
  <si>
    <t>Dẫn dắt việc áp dụng AI trong thiết kế một cách an toàn và có kiểm soát; đào tạo đội ngũ; tự động hóa các công việc lặp lại theo quy định và chuẩn quản trị.</t>
  </si>
  <si>
    <t>FrontEnd</t>
  </si>
  <si>
    <t>Tự triển khai tính năng giao diện từ đầu đến cuối (giao diện, trạng thái, tích hợp dữ liệu); xử lý các tình huống phát sinh; viết mã rõ ràng, dễ bảo trì.</t>
  </si>
  <si>
    <t>Cải thiện hiệu năng và khả năng truy cập của giao diện; xây dựng thành phần dùng lại; nâng cao kiến trúc và kiểm thử để tăng độ ổn định.</t>
  </si>
  <si>
    <t>Định hướng kỹ thuật frontend; dẫn dắt các thay đổi lớn để giảm rủi ro; hướng dẫn đội ngũ; chủ động ngăn ngừa lỗi ảnh hưởng diện rộng trên giao diện.</t>
  </si>
  <si>
    <t>Bàn giao công việc ổn định; chịu trách nhiệm xử lý lỗi đến khi hoàn tất; phối hợp sớm với backend và thiết kế; chủ động báo rủi ro.</t>
  </si>
  <si>
    <t>Quản lý các lựa chọn và đánh đổi về trải nghiệm người dùng; giảm phát sinh làm lại; nâng chất lượng bàn giao bằng đặc tả, minh chứng và tài liệu rõ ràng.</t>
  </si>
  <si>
    <t>Nâng chuẩn bàn giao và rà soát (chuẩn thành phần, danh sách rà soát); tháo gỡ vướng mắc phối hợp giữa các đội; nâng cao khả năng dự báo và kiểm soát tiến độ.</t>
  </si>
  <si>
    <t>Sử dụng thành thạo quy trình tích hợp và triển khai; quản lý cấu hình môi trường; theo dõi lỗi phía người dùng; giữ bản phát hành gọn và ổn định.</t>
  </si>
  <si>
    <t>Cải thiện quy trình triển khai (tối ưu tốc độ, kiểm soát chất lượng); giảm kích thước và thời gian tải; có phương án quay lui khi sự cố; nâng cao độ ổn định.</t>
  </si>
  <si>
    <t>Chuẩn hóa phát hành và giám sát cho frontend; xây dựng hướng dẫn xử lý sự cố; hướng dẫn đội ngũ thực hành vận hành; giảm lỗi phía người dùng và rút ngắn thời gian khắc phục.</t>
  </si>
  <si>
    <t>Sử dụng AI để hỗ trợ tạo khung code, chỉnh sửa code, viết kiểm thử và tìm lỗi; biết đặt yêu cầu rõ ràng; luôn kiểm tra lại trước khi áp dụng.</t>
  </si>
  <si>
    <t>Xây dựng mẫu yêu cầu AI có thể tái sử dụng (thành phần, khả năng truy cập, kiểm thử); dùng AI hỗ trợ rà soát và cải tiến mã; theo dõi hiệu quả bằng các chỉ số phù hợp.</t>
  </si>
  <si>
    <t>Dẫn dắt việc áp dụng AI trong frontend theo quy chuẩn; đào tạo đội ngũ; tự động hóa các công việc lặp lại một cách an toàn và có kiểm soát.</t>
  </si>
  <si>
    <t>FullStack</t>
  </si>
  <si>
    <t>Cấp độ 4</t>
  </si>
  <si>
    <t>Tự triển khai tính năng từ đầu đến cuối (giao diện, xử lý dữ liệu, lưu trữ); đảm bảo chất lượng cơ bản; viết kiểm thử cần thiết; xử lý các tình huống lỗi phát sinh.</t>
  </si>
  <si>
    <t>Phân định rõ trách nhiệm giữa backend và frontend; cải thiện hiệu năng và an toàn hệ thống; thực hiện tái cấu trúc có kiểm soát; xây dựng kiểm thử vững chắc hơn.</t>
  </si>
  <si>
    <t>Định hướng kỹ thuật end-to-end; chủ động ngăn ngừa rủi ro và lỗi hệ thống; hướng dẫn đội ngũ; dẫn dắt các đợt tái cấu trúc và chuyển đổi hệ thống lớn một cách an toàn.</t>
  </si>
  <si>
    <t>Dẫn dắt định hướng kiến trúc ở cấp sản phẩm/hệ thống; xây dựng nền tảng kỹ thuật bền vững cho nhiều sản phẩm; tạo lợi thế công nghệ dài hạn và ảnh hưởng chiến lược đến tổ chức.</t>
  </si>
  <si>
    <t>Chịu trách nhiệm toàn bộ tính năng từ đầu đến cuối; đảm bảo vận hành ổn định; chủ động báo rủi ro; xử lý triệt để vấn đề đến khi hoàn tất.</t>
  </si>
  <si>
    <t>Quản lý phạm vi và rủi ro công việc; trao đổi và thống nhất các đánh đổi kỹ thuật; giảm phát sinh làm lại; cải thiện chất lượng tài liệu và bàn giao.</t>
  </si>
  <si>
    <t>Nâng cao khả năng dự báo; xây dựng và áp dụng các chuẩn chung (tiêu chí hoàn thành, danh sách rà soát); tháo gỡ vướng mắc trong phối hợp giữa các đội.</t>
  </si>
  <si>
    <t>Xây dựng hệ thống vận hành có khả năng tự kiểm soát; chủ động phòng ngừa rủi ro; mô hình quản lý trở thành chuẩn tham chiếu cho các đơn vị khác.</t>
  </si>
  <si>
    <t>Sử dụng quy trình tích hợp và triển khai tự động; quản lý cấu hình và thông tin bảo mật; theo dõi lỗi và nhật ký hệ thống; triển khai an toàn và tham gia trực xử lý sự cố.</t>
  </si>
  <si>
    <t>Cải thiện quy trình triển khai; bổ sung theo dõi chỉ số và cảnh báo; có phương án quay lui khi cần; nâng cao độ ổn định trên toàn bộ hệ thống.</t>
  </si>
  <si>
    <t>Chuẩn hóa phát hành và giám sát hệ thống; xây dựng hướng dẫn vận hành và xử lý sự cố; giảm thời gian khắc phục lỗi; hướng dẫn đội ngũ thực hành vận hành hiệu quả.</t>
  </si>
  <si>
    <t>Định hướng chiến lược AI-first cho toàn bộ bộ phận; xây dựng môi trường phát triển tự động hoá cao (code/doc/test/deploy bằng AI); tối ưu chi phí nhân lực và tăng năng suất vượt trội cho tổ chức.</t>
  </si>
  <si>
    <t>Sử dụng AI hỗ trợ toàn bộ chuỗi phát triển (tạo khung, chỉnh sửa code, kiểm thử, tìm lỗi); biết đặt yêu cầu phù hợp; luôn rà soát kỹ kết quả trước khi áp dụng.</t>
  </si>
  <si>
    <t>Xây dựng mẫu yêu cầu và quy trình làm việc với AI có thể tái sử dụng; dùng AI hỗ trợ rà soát và tìm lỗi; theo dõi tác động đến thời gian thực hiện và chất lượng.</t>
  </si>
  <si>
    <t>Dẫn dắt việc áp dụng AI trong phát triển end-to-end một cách an toàn và có kiểm soát; đào tạo đội ngũ; tự động hóa các công việc xuyên suốt theo chuẩn quản trị.</t>
  </si>
  <si>
    <t>Xây dựng đội ngũ tự chủ và kế thừa; phát triển năng lực tổng thể của bộ phận Công Nghệ; tạo văn hoá học tập, cải tiến liên tục và lan toả ảnh hưởng ra toàn công ty.</t>
  </si>
  <si>
    <t>P2 SUMMARY &amp; RANKING – BP CÔNG NGHỆ</t>
  </si>
  <si>
    <t>Nhập dữ liệu đánh giá của nhiều nhân sự để tự động xếp hạng. Cột 'Điểm P2' có thể nhập tay hoặc liên kết từ sheet role.</t>
  </si>
  <si>
    <t>STT</t>
  </si>
  <si>
    <t>Điểm P2</t>
  </si>
  <si>
    <t>Rank</t>
  </si>
  <si>
    <t>Ghi chú</t>
  </si>
  <si>
    <t>P2-Core</t>
  </si>
  <si>
    <t>OKR (P2-Delivery)</t>
  </si>
  <si>
    <t>Bùi Văn Hổ</t>
  </si>
  <si>
    <t>Designer, Frontend</t>
  </si>
  <si>
    <t>Nguyễn Huy Hoàng</t>
  </si>
  <si>
    <t>Backend, Frontend</t>
  </si>
  <si>
    <t>Đinh Tiến Chương</t>
  </si>
  <si>
    <t>Nguyễn Đăng Đức</t>
  </si>
  <si>
    <t>NHÂN SỰ</t>
  </si>
  <si>
    <t>BÙI VĂN HỔ</t>
  </si>
  <si>
    <t>ĐINH TIẾN CHƯƠNG</t>
  </si>
  <si>
    <t>NGUYỄN ĐĂNG ĐỨC</t>
  </si>
  <si>
    <t>TRẦN CÔNG TUẤN ANH</t>
  </si>
  <si>
    <t>TỔNG</t>
  </si>
  <si>
    <t>VAI TRÒ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</si>
</sst>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4"/>
      <name val="Calibri"/>
      <family val="2"/>
      <charset val="163"/>
    </font>
    <font>
      <b/>
      <sz val="11"/>
      <name val="Calibri"/>
      <family val="2"/>
      <charset val="163"/>
    </font>
    <font>
      <b/>
      <sz val="11"/>
      <color rgb="FFFFFFFF"/>
      <name val="Calibri"/>
      <family val="2"/>
      <charset val="163"/>
    </font>
    <font>
      <b/>
      <sz val="16"/>
      <color rgb="FFFFFFFF"/>
      <name val="Calibri"/>
      <family val="2"/>
      <charset val="163"/>
    </font>
    <font>
      <i/>
      <sz val="10"/>
      <color rgb="FF404040"/>
      <name val="Calibri"/>
      <family val="2"/>
      <charset val="163"/>
    </font>
    <font>
      <b/>
      <sz val="12"/>
      <color rgb="FFFFFFFF"/>
      <name val="Calibri"/>
      <family val="2"/>
      <charset val="163"/>
    </font>
    <font>
      <b/>
      <sz val="11"/>
      <color rgb="FF1F1F1F"/>
      <name val="Calibri"/>
      <family val="2"/>
      <charset val="163"/>
    </font>
    <font>
      <sz val="11"/>
      <color rgb="FF1F1F1F"/>
      <name val="Calibri"/>
      <family val="2"/>
      <charset val="163"/>
    </font>
    <font>
      <sz val="11"/>
      <color rgb="FF1F1F1F"/>
      <name val="Calibri"/>
      <family val="2"/>
    </font>
    <font>
      <b/>
      <sz val="11"/>
      <color rgb="FF1F1F1F"/>
      <name val="Calibri"/>
      <family val="2"/>
      <charset val="163"/>
    </font>
    <font>
      <b/>
      <sz val="18"/>
      <color rgb="FFFFFFFF"/>
      <name val="Calibri"/>
      <family val="2"/>
      <charset val="163"/>
    </font>
    <font>
      <sz val="11"/>
      <color rgb="FF1F1F1F"/>
      <name val="Calibri"/>
      <family val="2"/>
      <charset val="163"/>
    </font>
    <font>
      <b/>
      <sz val="14"/>
      <color rgb="FFFFFFFF"/>
      <name val="Calibri"/>
      <family val="2"/>
      <charset val="163"/>
    </font>
    <font>
      <b/>
      <sz val="16"/>
      <color rgb="FFFFFFFF"/>
      <name val="Calibri"/>
      <family val="2"/>
      <charset val="163"/>
    </font>
    <font>
      <b/>
      <sz val="11"/>
      <color rgb="FF1F1F1F"/>
      <name val="Calibri"/>
      <family val="2"/>
      <charset val="163"/>
    </font>
    <font>
      <b/>
      <sz val="12"/>
      <color rgb="FF1F1F1F"/>
      <name val="Calibri"/>
      <family val="2"/>
      <charset val="163"/>
    </font>
    <font>
      <b/>
      <sz val="11"/>
      <color rgb="FF1F1F1F"/>
      <name val="Calibri"/>
      <family val="2"/>
    </font>
    <font>
      <b/>
      <sz val="11"/>
      <color theme="0"/>
      <name val="Calibri"/>
      <family val="2"/>
    </font>
    <font>
      <b/>
      <sz val="11"/>
      <color theme="1"/>
      <name val="Calibri"/>
      <family val="2"/>
      <charset val="163"/>
      <scheme val="minor"/>
    </font>
    <font>
      <b/>
      <sz val="11"/>
      <color rgb="FF1F1F1F"/>
      <name val="Calibri"/>
      <family val="2"/>
      <charset val="163"/>
    </font>
  </fonts>
  <fills count="20">
    <fill>
      <patternFill patternType="none"/>
    </fill>
    <fill>
      <patternFill patternType="gray125"/>
    </fill>
    <fill>
      <patternFill patternType="solid">
        <fgColor rgb="FFE9EEF3"/>
      </patternFill>
    </fill>
    <fill>
      <patternFill patternType="solid">
        <fgColor rgb="FFF4F6F8"/>
      </patternFill>
    </fill>
    <fill>
      <patternFill patternType="solid">
        <fgColor rgb="FF111827"/>
      </patternFill>
    </fill>
    <fill>
      <patternFill patternType="solid">
        <fgColor rgb="FFFAFAFA"/>
      </patternFill>
    </fill>
    <fill>
      <patternFill patternType="solid">
        <fgColor rgb="FF1F4E79"/>
      </patternFill>
    </fill>
    <fill>
      <patternFill patternType="solid">
        <fgColor rgb="FF2F5597"/>
      </patternFill>
    </fill>
    <fill>
      <patternFill patternType="solid">
        <fgColor rgb="FFD9E1F2"/>
      </patternFill>
    </fill>
    <fill>
      <patternFill patternType="solid">
        <fgColor rgb="FFF2F2F2"/>
      </patternFill>
    </fill>
    <fill>
      <patternFill patternType="solid">
        <fgColor rgb="FFD9E1F2"/>
      </patternFill>
    </fill>
    <fill>
      <patternFill patternType="solid">
        <fgColor rgb="FF1F4E79"/>
      </patternFill>
    </fill>
    <fill>
      <patternFill patternType="solid">
        <fgColor rgb="FFFFFFFF"/>
      </patternFill>
    </fill>
    <fill>
      <patternFill patternType="solid">
        <fgColor rgb="FF2F5597"/>
      </patternFill>
    </fill>
    <fill>
      <patternFill patternType="solid">
        <fgColor rgb="FFD9E1F2"/>
      </patternFill>
    </fill>
    <fill>
      <patternFill patternType="solid">
        <fgColor rgb="FFF2F2F2"/>
      </patternFill>
    </fill>
    <fill>
      <patternFill patternType="solid">
        <fgColor theme="1"/>
        <bgColor indexed="64"/>
      </patternFill>
    </fill>
    <fill>
      <patternFill patternType="solid">
        <fgColor theme="5" tint="0.79998168889431442"/>
        <bgColor indexed="64"/>
      </patternFill>
    </fill>
    <fill>
      <patternFill patternType="solid">
        <fgColor theme="0"/>
        <bgColor indexed="64"/>
      </patternFill>
    </fill>
    <fill>
      <patternFill patternType="solid">
        <fgColor theme="4" tint="0.79998168889431442"/>
        <bgColor indexed="64"/>
      </patternFill>
    </fill>
  </fills>
  <borders count="19">
    <border>
      <left/>
      <right/>
      <top/>
      <bottom/>
      <diagonal/>
    </border>
    <border>
      <left style="thin">
        <color rgb="FFC9CDD2"/>
      </left>
      <right style="thin">
        <color rgb="FFC9CDD2"/>
      </right>
      <top style="thin">
        <color rgb="FFC9CDD2"/>
      </top>
      <bottom style="thin">
        <color rgb="FFC9CDD2"/>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rgb="FFBFBFBF"/>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style="thin">
        <color rgb="FFBFBFBF"/>
      </right>
      <top/>
      <bottom/>
      <diagonal/>
    </border>
    <border>
      <left style="thin">
        <color indexed="64"/>
      </left>
      <right/>
      <top style="thin">
        <color indexed="64"/>
      </top>
      <bottom style="thin">
        <color indexed="64"/>
      </bottom>
      <diagonal/>
    </border>
  </borders>
  <cellStyleXfs count="1">
    <xf numFmtId="0" fontId="0" fillId="0" borderId="0"/>
  </cellStyleXfs>
  <cellXfs count="99">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7" fillId="8" borderId="2" xfId="0" applyFont="1" applyFill="1" applyBorder="1" applyAlignment="1">
      <alignment horizontal="center" vertical="center" wrapText="1"/>
    </xf>
    <xf numFmtId="0" fontId="7" fillId="9" borderId="2" xfId="0" applyFont="1" applyFill="1" applyBorder="1" applyAlignment="1">
      <alignment horizontal="left" vertical="center"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10" borderId="0" xfId="0" applyFont="1" applyFill="1" applyAlignment="1">
      <alignment horizontal="center" vertical="center" wrapText="1"/>
    </xf>
    <xf numFmtId="2" fontId="0" fillId="0" borderId="0" xfId="0" applyNumberFormat="1"/>
    <xf numFmtId="0" fontId="15" fillId="14" borderId="0" xfId="0" applyFont="1" applyFill="1" applyAlignment="1">
      <alignment horizontal="center" vertical="center" wrapText="1"/>
    </xf>
    <xf numFmtId="0" fontId="0" fillId="5" borderId="3" xfId="0" applyFill="1" applyBorder="1" applyAlignment="1">
      <alignment horizontal="center" vertical="center" wrapText="1"/>
    </xf>
    <xf numFmtId="0" fontId="12" fillId="0" borderId="0" xfId="0" applyFont="1" applyAlignment="1">
      <alignment horizontal="left" vertical="top" wrapText="1"/>
    </xf>
    <xf numFmtId="0" fontId="0" fillId="0" borderId="7" xfId="0" applyBorder="1"/>
    <xf numFmtId="0" fontId="0" fillId="0" borderId="10" xfId="0" applyBorder="1"/>
    <xf numFmtId="0" fontId="0" fillId="0" borderId="3" xfId="0" applyBorder="1"/>
    <xf numFmtId="0" fontId="0" fillId="0" borderId="3" xfId="0" applyBorder="1" applyAlignment="1">
      <alignment horizontal="left" vertical="center" wrapText="1"/>
    </xf>
    <xf numFmtId="0" fontId="0" fillId="0" borderId="3" xfId="0" applyBorder="1" applyAlignment="1">
      <alignment horizontal="center" vertical="center" wrapText="1"/>
    </xf>
    <xf numFmtId="0" fontId="2" fillId="3" borderId="3" xfId="0" applyFont="1" applyFill="1" applyBorder="1" applyAlignment="1">
      <alignment horizontal="center" vertical="center" wrapText="1"/>
    </xf>
    <xf numFmtId="0" fontId="2" fillId="18" borderId="3" xfId="0" applyFont="1" applyFill="1" applyBorder="1" applyAlignment="1">
      <alignment horizontal="center" vertical="center" wrapText="1"/>
    </xf>
    <xf numFmtId="0" fontId="19" fillId="17" borderId="3" xfId="0" applyFont="1" applyFill="1" applyBorder="1" applyAlignment="1">
      <alignment horizontal="center"/>
    </xf>
    <xf numFmtId="0" fontId="2" fillId="19" borderId="3" xfId="0" applyFont="1" applyFill="1" applyBorder="1" applyAlignment="1">
      <alignment horizontal="center" vertical="center" wrapText="1"/>
    </xf>
    <xf numFmtId="0" fontId="0" fillId="0" borderId="3" xfId="0" applyBorder="1" applyAlignment="1">
      <alignment horizontal="center"/>
    </xf>
    <xf numFmtId="0" fontId="0" fillId="0" borderId="0" xfId="0" applyAlignment="1">
      <alignment horizontal="left" vertical="top" wrapText="1"/>
    </xf>
    <xf numFmtId="0" fontId="2" fillId="2" borderId="3" xfId="0" applyFont="1" applyFill="1" applyBorder="1" applyAlignment="1">
      <alignment horizontal="center" vertical="center" wrapText="1"/>
    </xf>
    <xf numFmtId="0" fontId="15" fillId="14" borderId="3" xfId="0" applyFont="1" applyFill="1" applyBorder="1" applyAlignment="1">
      <alignment horizontal="center" vertical="center" wrapText="1"/>
    </xf>
    <xf numFmtId="0" fontId="7" fillId="14" borderId="3" xfId="0" applyFont="1" applyFill="1" applyBorder="1" applyAlignment="1">
      <alignment horizontal="center" vertical="center" wrapText="1"/>
    </xf>
    <xf numFmtId="0" fontId="12" fillId="0" borderId="3" xfId="0" applyFont="1" applyBorder="1" applyAlignment="1">
      <alignment horizontal="left" vertical="center" wrapText="1"/>
    </xf>
    <xf numFmtId="0" fontId="12" fillId="12" borderId="3" xfId="0" applyFont="1" applyFill="1" applyBorder="1" applyAlignment="1">
      <alignment horizontal="center" vertical="center" wrapText="1"/>
    </xf>
    <xf numFmtId="0" fontId="8" fillId="12" borderId="3" xfId="0" applyFont="1" applyFill="1" applyBorder="1" applyAlignment="1">
      <alignment horizontal="center" vertical="center" wrapText="1"/>
    </xf>
    <xf numFmtId="0" fontId="0" fillId="0" borderId="3" xfId="0" applyBorder="1" applyAlignment="1">
      <alignment horizontal="center" vertical="center"/>
    </xf>
    <xf numFmtId="0" fontId="13" fillId="13" borderId="3" xfId="0" applyFont="1" applyFill="1" applyBorder="1" applyAlignment="1">
      <alignment vertical="center" wrapText="1"/>
    </xf>
    <xf numFmtId="0" fontId="13" fillId="13" borderId="3" xfId="0" applyFont="1" applyFill="1" applyBorder="1" applyAlignment="1">
      <alignment horizontal="center" vertical="center" wrapText="1"/>
    </xf>
    <xf numFmtId="0" fontId="20" fillId="0" borderId="0" xfId="0" applyFont="1" applyAlignment="1">
      <alignment horizontal="left" vertical="center" wrapText="1"/>
    </xf>
    <xf numFmtId="2" fontId="12" fillId="0" borderId="0" xfId="0" applyNumberFormat="1" applyFont="1" applyAlignment="1">
      <alignment horizontal="center" vertical="center" wrapText="1"/>
    </xf>
    <xf numFmtId="0" fontId="2" fillId="0" borderId="3" xfId="0" applyFont="1" applyBorder="1" applyAlignment="1">
      <alignment horizontal="left" vertical="center" wrapText="1"/>
    </xf>
    <xf numFmtId="0" fontId="0" fillId="0" borderId="3" xfId="0" applyBorder="1" applyAlignment="1">
      <alignment vertical="center" wrapText="1"/>
    </xf>
    <xf numFmtId="0" fontId="12" fillId="12" borderId="0" xfId="0" applyFont="1" applyFill="1" applyAlignment="1">
      <alignment horizontal="center" vertical="center" wrapText="1"/>
    </xf>
    <xf numFmtId="0" fontId="12" fillId="12" borderId="17" xfId="0" applyFont="1" applyFill="1" applyBorder="1" applyAlignment="1">
      <alignment horizontal="center" vertical="center" wrapText="1"/>
    </xf>
    <xf numFmtId="0" fontId="2" fillId="3" borderId="3" xfId="0" applyFont="1" applyFill="1" applyBorder="1" applyAlignment="1">
      <alignment horizontal="left" vertical="center" wrapText="1"/>
    </xf>
    <xf numFmtId="0" fontId="0" fillId="0" borderId="3" xfId="0" applyBorder="1" applyAlignment="1" applyProtection="1">
      <alignment vertical="center" wrapText="1"/>
      <protection locked="0"/>
    </xf>
    <xf numFmtId="0" fontId="0" fillId="0" borderId="3" xfId="0" applyBorder="1" applyProtection="1">
      <protection locked="0"/>
    </xf>
    <xf numFmtId="0" fontId="0" fillId="0" borderId="3" xfId="0" applyBorder="1" applyAlignment="1" applyProtection="1">
      <alignment horizontal="center" vertical="center" wrapText="1"/>
      <protection locked="0"/>
    </xf>
    <xf numFmtId="2" fontId="12" fillId="0" borderId="3" xfId="0" applyNumberFormat="1" applyFont="1" applyBorder="1" applyAlignment="1">
      <alignment horizontal="center" vertical="center" wrapText="1"/>
    </xf>
    <xf numFmtId="0" fontId="0" fillId="0" borderId="16" xfId="0" applyBorder="1"/>
    <xf numFmtId="0" fontId="7" fillId="14" borderId="3" xfId="0" applyFont="1" applyFill="1" applyBorder="1" applyAlignment="1">
      <alignment horizontal="center" vertical="center" wrapText="1"/>
    </xf>
    <xf numFmtId="0" fontId="18" fillId="16" borderId="3" xfId="0" applyFont="1" applyFill="1" applyBorder="1" applyAlignment="1">
      <alignment horizontal="center" vertical="center" wrapText="1"/>
    </xf>
    <xf numFmtId="0" fontId="0" fillId="0" borderId="15" xfId="0" applyBorder="1"/>
    <xf numFmtId="0" fontId="0" fillId="5" borderId="3" xfId="0" applyFill="1" applyBorder="1" applyAlignment="1">
      <alignment horizontal="left" vertical="center" wrapText="1"/>
    </xf>
    <xf numFmtId="0" fontId="1" fillId="19" borderId="3" xfId="0" applyFont="1" applyFill="1" applyBorder="1" applyAlignment="1">
      <alignment horizontal="center" vertical="center" wrapText="1"/>
    </xf>
    <xf numFmtId="0" fontId="19" fillId="0" borderId="4" xfId="0" applyFont="1" applyBorder="1" applyAlignment="1">
      <alignment horizontal="center"/>
    </xf>
    <xf numFmtId="0" fontId="0" fillId="0" borderId="4" xfId="0" applyBorder="1"/>
    <xf numFmtId="0" fontId="17" fillId="0" borderId="3" xfId="0" applyFont="1" applyBorder="1" applyAlignment="1">
      <alignment horizontal="left" vertical="center" wrapText="1"/>
    </xf>
    <xf numFmtId="0" fontId="12" fillId="0" borderId="3" xfId="0" applyFont="1" applyBorder="1" applyAlignment="1" applyProtection="1">
      <alignment horizontal="center" vertical="center" wrapText="1"/>
      <protection locked="0"/>
    </xf>
    <xf numFmtId="0" fontId="0" fillId="0" borderId="16" xfId="0" applyBorder="1" applyProtection="1">
      <protection locked="0"/>
    </xf>
    <xf numFmtId="0" fontId="7" fillId="0" borderId="3" xfId="0" applyFont="1" applyBorder="1" applyAlignment="1">
      <alignment horizontal="left" vertical="center" wrapText="1"/>
    </xf>
    <xf numFmtId="0" fontId="3" fillId="4" borderId="3"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9" fillId="0" borderId="18" xfId="0" applyFont="1" applyBorder="1" applyAlignment="1">
      <alignment horizontal="left"/>
    </xf>
    <xf numFmtId="0" fontId="19" fillId="0" borderId="15" xfId="0" applyFont="1" applyBorder="1" applyAlignment="1">
      <alignment horizontal="left"/>
    </xf>
    <xf numFmtId="0" fontId="19" fillId="0" borderId="16" xfId="0" applyFont="1" applyBorder="1" applyAlignment="1">
      <alignment horizontal="left"/>
    </xf>
    <xf numFmtId="0" fontId="19" fillId="0" borderId="3" xfId="0" applyFont="1" applyBorder="1" applyAlignment="1">
      <alignment horizontal="left" vertical="center"/>
    </xf>
    <xf numFmtId="0" fontId="19" fillId="0" borderId="3" xfId="0" applyFont="1" applyBorder="1" applyAlignment="1">
      <alignment horizontal="center" vertical="center"/>
    </xf>
    <xf numFmtId="0" fontId="18" fillId="16" borderId="7" xfId="0" applyFont="1" applyFill="1" applyBorder="1" applyAlignment="1">
      <alignment horizontal="center" vertical="center" wrapText="1"/>
    </xf>
    <xf numFmtId="0" fontId="0" fillId="0" borderId="0" xfId="0"/>
    <xf numFmtId="0" fontId="12" fillId="12" borderId="0" xfId="0" applyFont="1" applyFill="1" applyAlignment="1">
      <alignment horizontal="left" vertical="top" wrapText="1"/>
    </xf>
    <xf numFmtId="0" fontId="11" fillId="11" borderId="0" xfId="0" applyFont="1" applyFill="1" applyAlignment="1">
      <alignment horizontal="center" vertical="center" wrapText="1"/>
    </xf>
    <xf numFmtId="0" fontId="13" fillId="13" borderId="0" xfId="0" applyFont="1" applyFill="1" applyAlignment="1">
      <alignment horizontal="left" vertical="top" wrapText="1"/>
    </xf>
    <xf numFmtId="0" fontId="9" fillId="12" borderId="0" xfId="0" applyFont="1" applyFill="1" applyAlignment="1">
      <alignment horizontal="left" vertical="top" wrapText="1"/>
    </xf>
    <xf numFmtId="0" fontId="13" fillId="13" borderId="3" xfId="0" applyFont="1" applyFill="1" applyBorder="1" applyAlignment="1">
      <alignment horizontal="left" vertical="center" wrapText="1"/>
    </xf>
    <xf numFmtId="0" fontId="0" fillId="0" borderId="3" xfId="0" applyBorder="1"/>
    <xf numFmtId="0" fontId="15" fillId="14" borderId="8" xfId="0" applyFont="1" applyFill="1" applyBorder="1" applyAlignment="1">
      <alignment horizontal="left" vertical="center" wrapText="1"/>
    </xf>
    <xf numFmtId="0" fontId="0" fillId="0" borderId="5" xfId="0" applyBorder="1"/>
    <xf numFmtId="0" fontId="12" fillId="0" borderId="9" xfId="0" applyFont="1" applyBorder="1" applyAlignment="1">
      <alignment horizontal="left" vertical="center" wrapText="1"/>
    </xf>
    <xf numFmtId="0" fontId="0" fillId="0" borderId="9" xfId="0" applyBorder="1"/>
    <xf numFmtId="0" fontId="14" fillId="11" borderId="0" xfId="0" applyFont="1" applyFill="1" applyAlignment="1">
      <alignment horizontal="center" vertical="center" wrapText="1"/>
    </xf>
    <xf numFmtId="0" fontId="12" fillId="0" borderId="11" xfId="0" applyFont="1" applyBorder="1" applyAlignment="1">
      <alignment horizontal="left" vertical="top" wrapText="1"/>
    </xf>
    <xf numFmtId="0" fontId="0" fillId="0" borderId="6" xfId="0" applyBorder="1"/>
    <xf numFmtId="0" fontId="0" fillId="0" borderId="11" xfId="0" applyBorder="1"/>
    <xf numFmtId="0" fontId="12" fillId="0" borderId="9" xfId="0" applyFont="1" applyBorder="1" applyAlignment="1">
      <alignment horizontal="left" vertical="top" wrapText="1"/>
    </xf>
    <xf numFmtId="0" fontId="13" fillId="13" borderId="8" xfId="0" applyFont="1" applyFill="1" applyBorder="1" applyAlignment="1">
      <alignment horizontal="left" vertical="center" wrapText="1"/>
    </xf>
    <xf numFmtId="0" fontId="16" fillId="12" borderId="13" xfId="0" applyFont="1" applyFill="1" applyBorder="1" applyAlignment="1">
      <alignment horizontal="center" vertical="center" wrapText="1"/>
    </xf>
    <xf numFmtId="0" fontId="12" fillId="0" borderId="0" xfId="0" applyFont="1" applyAlignment="1">
      <alignment horizontal="left" vertical="center" wrapText="1"/>
    </xf>
    <xf numFmtId="0" fontId="12" fillId="0" borderId="11" xfId="0" applyFont="1" applyBorder="1" applyAlignment="1">
      <alignment horizontal="left" vertical="center" wrapText="1"/>
    </xf>
    <xf numFmtId="0" fontId="13" fillId="13" borderId="6" xfId="0" applyFont="1" applyFill="1" applyBorder="1" applyAlignment="1">
      <alignment horizontal="left" vertical="center" wrapText="1"/>
    </xf>
    <xf numFmtId="0" fontId="13" fillId="13" borderId="0" xfId="0" applyFont="1" applyFill="1" applyAlignment="1">
      <alignment horizontal="left" vertical="center" wrapText="1"/>
    </xf>
    <xf numFmtId="0" fontId="7" fillId="15" borderId="8" xfId="0" applyFont="1" applyFill="1" applyBorder="1" applyAlignment="1">
      <alignment horizontal="left" vertical="center" wrapText="1"/>
    </xf>
    <xf numFmtId="0" fontId="7" fillId="15" borderId="14" xfId="0" applyFont="1" applyFill="1" applyBorder="1" applyAlignment="1">
      <alignment horizontal="left" vertical="center" wrapText="1"/>
    </xf>
    <xf numFmtId="0" fontId="8" fillId="12" borderId="14" xfId="0" applyFont="1" applyFill="1" applyBorder="1" applyAlignment="1">
      <alignment horizontal="left" vertical="center" wrapText="1"/>
    </xf>
    <xf numFmtId="0" fontId="8" fillId="0" borderId="0" xfId="0" applyFont="1" applyAlignment="1">
      <alignment horizontal="left" vertical="center" wrapText="1"/>
    </xf>
    <xf numFmtId="0" fontId="15" fillId="14" borderId="14" xfId="0" applyFont="1" applyFill="1" applyBorder="1" applyAlignment="1">
      <alignment horizontal="left" vertical="center" wrapText="1"/>
    </xf>
    <xf numFmtId="0" fontId="15" fillId="0" borderId="0" xfId="0" applyFont="1" applyAlignment="1">
      <alignment horizontal="left" vertical="center" wrapText="1"/>
    </xf>
    <xf numFmtId="0" fontId="4" fillId="6" borderId="0" xfId="0" applyFont="1" applyFill="1" applyAlignment="1">
      <alignment horizontal="center" vertical="center"/>
    </xf>
    <xf numFmtId="0" fontId="6" fillId="7" borderId="0" xfId="0" applyFont="1" applyFill="1" applyAlignment="1">
      <alignment horizontal="left" vertical="center" wrapText="1"/>
    </xf>
    <xf numFmtId="0" fontId="6" fillId="7" borderId="12" xfId="0" applyFont="1" applyFill="1" applyBorder="1" applyAlignment="1">
      <alignment horizontal="left" vertical="center" wrapText="1"/>
    </xf>
    <xf numFmtId="0" fontId="0" fillId="0" borderId="12" xfId="0" applyBorder="1"/>
    <xf numFmtId="0" fontId="5" fillId="0" borderId="0" xfId="0" applyFont="1" applyAlignment="1">
      <alignment horizontal="left" vertical="center" wrapText="1"/>
    </xf>
    <xf numFmtId="0" fontId="0" fillId="0" borderId="0" xfId="0" applyAlignment="1">
      <alignment horizontal="left" vertical="center" wrapText="1"/>
    </xf>
    <xf numFmtId="0" fontId="1" fillId="0" borderId="0" xfId="0" applyFont="1" applyAlignment="1">
      <alignment horizontal="center" vertical="center" wrapText="1"/>
    </xf>
  </cellXfs>
  <cellStyles count="1">
    <cellStyle name="Normal" xfId="0" builtinId="0"/>
  </cellStyles>
  <dxfs count="15">
    <dxf>
      <fill>
        <patternFill>
          <bgColor rgb="FFDCFCE7"/>
        </patternFill>
      </fill>
    </dxf>
    <dxf>
      <fill>
        <patternFill>
          <bgColor rgb="FFFEF9C3"/>
        </patternFill>
      </fill>
    </dxf>
    <dxf>
      <fill>
        <patternFill>
          <bgColor rgb="FFFFEDD5"/>
        </patternFill>
      </fill>
    </dxf>
    <dxf>
      <fill>
        <patternFill>
          <bgColor rgb="FFFEE2E2"/>
        </patternFill>
      </fill>
    </dxf>
    <dxf>
      <fill>
        <patternFill>
          <bgColor rgb="FFDCFCE7"/>
        </patternFill>
      </fill>
    </dxf>
    <dxf>
      <fill>
        <patternFill>
          <bgColor rgb="FFFF0000"/>
        </patternFill>
      </fill>
    </dxf>
    <dxf>
      <fill>
        <patternFill>
          <bgColor rgb="FFFF0000"/>
        </patternFill>
      </fill>
    </dxf>
    <dxf>
      <fill>
        <patternFill>
          <bgColor rgb="FFDCFCE7"/>
        </patternFill>
      </fill>
    </dxf>
    <dxf>
      <fill>
        <patternFill>
          <bgColor rgb="FF92D050"/>
        </patternFill>
      </fill>
    </dxf>
    <dxf>
      <fill>
        <patternFill>
          <bgColor rgb="FFBBF7D0"/>
        </patternFill>
      </fill>
    </dxf>
    <dxf>
      <fill>
        <patternFill>
          <bgColor rgb="FFDCFCE7"/>
        </patternFill>
      </fill>
    </dxf>
    <dxf>
      <fill>
        <patternFill>
          <bgColor rgb="FFFEF9C3"/>
        </patternFill>
      </fill>
    </dxf>
    <dxf>
      <fill>
        <patternFill>
          <bgColor rgb="FFFFEDD5"/>
        </patternFill>
      </fill>
    </dxf>
    <dxf>
      <fill>
        <patternFill>
          <bgColor rgb="FFFEE2E2"/>
        </patternFill>
      </fill>
    </dxf>
    <dxf>
      <alignment horizontal="left" vertical="top"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evels_Backend_1" displayName="Levels_Backend_1" ref="A5:D9">
  <autoFilter ref="A5:D9" xr:uid="{00000000-0009-0000-0100-000001000000}"/>
  <tableColumns count="4">
    <tableColumn id="1" xr3:uid="{00000000-0010-0000-0000-000001000000}" name="Nhóm năng lực"/>
    <tableColumn id="2" xr3:uid="{00000000-0010-0000-0000-000002000000}" name="Cấp độ 1"/>
    <tableColumn id="3" xr3:uid="{00000000-0010-0000-0000-000003000000}" name="Cấp độ 2"/>
    <tableColumn id="4" xr3:uid="{00000000-0010-0000-0000-000004000000}" name="Cấp độ 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evels_Designer_2" displayName="Levels_Designer_2" ref="A12:D16">
  <autoFilter ref="A12:D16" xr:uid="{00000000-0009-0000-0100-000002000000}"/>
  <tableColumns count="4">
    <tableColumn id="1" xr3:uid="{00000000-0010-0000-0100-000001000000}" name="Nhóm năng lực"/>
    <tableColumn id="2" xr3:uid="{00000000-0010-0000-0100-000002000000}" name="Cấp độ 1"/>
    <tableColumn id="3" xr3:uid="{00000000-0010-0000-0100-000003000000}" name="Cấp độ 2"/>
    <tableColumn id="4" xr3:uid="{00000000-0010-0000-0100-000004000000}" name="Cấp độ 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evels_FrontEnd_3" displayName="Levels_FrontEnd_3" ref="A19:D23">
  <autoFilter ref="A19:D23" xr:uid="{00000000-0009-0000-0100-000003000000}"/>
  <tableColumns count="4">
    <tableColumn id="1" xr3:uid="{00000000-0010-0000-0200-000001000000}" name="Nhóm năng lực"/>
    <tableColumn id="2" xr3:uid="{00000000-0010-0000-0200-000002000000}" name="Cấp độ 1"/>
    <tableColumn id="3" xr3:uid="{00000000-0010-0000-0200-000003000000}" name="Cấp độ 2"/>
    <tableColumn id="4" xr3:uid="{00000000-0010-0000-0200-000004000000}" name="Cấp độ 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evels_FullStack_4" displayName="Levels_FullStack_4" ref="A26:E30">
  <autoFilter ref="A26:E30" xr:uid="{00000000-0009-0000-0100-000004000000}"/>
  <tableColumns count="5">
    <tableColumn id="1" xr3:uid="{00000000-0010-0000-0300-000001000000}" name="Nhóm năng lực"/>
    <tableColumn id="2" xr3:uid="{00000000-0010-0000-0300-000002000000}" name="Cấp độ 1"/>
    <tableColumn id="3" xr3:uid="{00000000-0010-0000-0300-000003000000}" name="Cấp độ 2"/>
    <tableColumn id="4" xr3:uid="{00000000-0010-0000-0300-000004000000}" name="Cấp độ 3"/>
    <tableColumn id="5" xr3:uid="{00000000-0010-0000-0300-000005000000}" name="Cấp độ 4" dataDxfId="14"/>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workbookViewId="0">
      <pane ySplit="1" topLeftCell="A2" activePane="bottomLeft" state="frozen"/>
      <selection pane="bottomLeft" activeCell="G8" sqref="G8"/>
    </sheetView>
  </sheetViews>
  <sheetFormatPr defaultRowHeight="15" x14ac:dyDescent="0.25"/>
  <cols>
    <col min="1" max="5" width="20" customWidth="1"/>
  </cols>
  <sheetData>
    <row r="1" spans="1:5" ht="40.15" customHeight="1" x14ac:dyDescent="0.25">
      <c r="A1" s="66" t="s">
        <v>59</v>
      </c>
      <c r="B1" s="64"/>
      <c r="C1" s="64"/>
      <c r="D1" s="64"/>
      <c r="E1" s="64"/>
    </row>
    <row r="3" spans="1:5" ht="79.900000000000006" customHeight="1" x14ac:dyDescent="0.25">
      <c r="A3" s="68" t="s">
        <v>60</v>
      </c>
      <c r="B3" s="64"/>
      <c r="C3" s="64"/>
      <c r="D3" s="64"/>
      <c r="E3" s="64"/>
    </row>
    <row r="5" spans="1:5" ht="25.15" customHeight="1" x14ac:dyDescent="0.25">
      <c r="A5" s="67" t="s">
        <v>61</v>
      </c>
      <c r="B5" s="64"/>
      <c r="C5" s="64"/>
      <c r="D5" s="64"/>
      <c r="E5" s="64"/>
    </row>
    <row r="6" spans="1:5" ht="60" customHeight="1" x14ac:dyDescent="0.25">
      <c r="A6" s="65" t="s">
        <v>62</v>
      </c>
      <c r="B6" s="64"/>
      <c r="C6" s="64"/>
      <c r="D6" s="64"/>
      <c r="E6" s="64"/>
    </row>
  </sheetData>
  <mergeCells count="4">
    <mergeCell ref="A6:E6"/>
    <mergeCell ref="A1:E1"/>
    <mergeCell ref="A5:E5"/>
    <mergeCell ref="A3:E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6"/>
  <sheetViews>
    <sheetView workbookViewId="0">
      <pane ySplit="1" topLeftCell="A49" activePane="bottomLeft" state="frozen"/>
      <selection pane="bottomLeft" activeCell="B27" sqref="B27:D27"/>
    </sheetView>
  </sheetViews>
  <sheetFormatPr defaultRowHeight="15" x14ac:dyDescent="0.25"/>
  <cols>
    <col min="1" max="1" width="25" customWidth="1"/>
    <col min="2" max="4" width="30" customWidth="1"/>
    <col min="5" max="5" width="19.42578125" customWidth="1"/>
  </cols>
  <sheetData>
    <row r="1" spans="1:4" ht="34.9" customHeight="1" x14ac:dyDescent="0.25">
      <c r="A1" s="75" t="s">
        <v>0</v>
      </c>
      <c r="B1" s="64"/>
      <c r="C1" s="64"/>
      <c r="D1" s="64"/>
    </row>
    <row r="3" spans="1:4" ht="25.15" customHeight="1" x14ac:dyDescent="0.25">
      <c r="A3" s="80" t="s">
        <v>1</v>
      </c>
      <c r="B3" s="51"/>
      <c r="C3" s="51"/>
      <c r="D3" s="72"/>
    </row>
    <row r="4" spans="1:4" ht="19.899999999999999" customHeight="1" x14ac:dyDescent="0.25">
      <c r="A4" s="90" t="s">
        <v>2</v>
      </c>
      <c r="B4" s="64"/>
      <c r="C4" s="64"/>
      <c r="D4" s="74"/>
    </row>
    <row r="5" spans="1:4" ht="19.899999999999999" customHeight="1" x14ac:dyDescent="0.25">
      <c r="A5" s="87" t="s">
        <v>3</v>
      </c>
      <c r="B5" s="64"/>
      <c r="C5" s="64"/>
      <c r="D5" s="74"/>
    </row>
    <row r="6" spans="1:4" ht="18" customHeight="1" x14ac:dyDescent="0.25">
      <c r="A6" s="13"/>
      <c r="B6" s="73" t="s">
        <v>4</v>
      </c>
      <c r="C6" s="64"/>
      <c r="D6" s="74"/>
    </row>
    <row r="7" spans="1:4" ht="18" customHeight="1" x14ac:dyDescent="0.25">
      <c r="A7" s="13"/>
      <c r="B7" s="73" t="s">
        <v>5</v>
      </c>
      <c r="C7" s="64"/>
      <c r="D7" s="74"/>
    </row>
    <row r="8" spans="1:4" ht="18" customHeight="1" x14ac:dyDescent="0.25">
      <c r="A8" s="13"/>
      <c r="B8" s="73" t="s">
        <v>6</v>
      </c>
      <c r="C8" s="64"/>
      <c r="D8" s="74"/>
    </row>
    <row r="9" spans="1:4" ht="18" customHeight="1" x14ac:dyDescent="0.25">
      <c r="A9" s="14"/>
      <c r="B9" s="83" t="s">
        <v>7</v>
      </c>
      <c r="C9" s="77"/>
      <c r="D9" s="78"/>
    </row>
    <row r="11" spans="1:4" ht="19.899999999999999" customHeight="1" x14ac:dyDescent="0.25">
      <c r="A11" s="86" t="s">
        <v>8</v>
      </c>
      <c r="B11" s="51"/>
      <c r="C11" s="51"/>
      <c r="D11" s="72"/>
    </row>
    <row r="12" spans="1:4" ht="18" customHeight="1" x14ac:dyDescent="0.25">
      <c r="A12" s="13"/>
      <c r="B12" s="73" t="s">
        <v>9</v>
      </c>
      <c r="C12" s="64"/>
      <c r="D12" s="74"/>
    </row>
    <row r="13" spans="1:4" ht="18" customHeight="1" x14ac:dyDescent="0.25">
      <c r="A13" s="14"/>
      <c r="B13" s="83" t="s">
        <v>10</v>
      </c>
      <c r="C13" s="77"/>
      <c r="D13" s="78"/>
    </row>
    <row r="16" spans="1:4" ht="25.15" customHeight="1" x14ac:dyDescent="0.25">
      <c r="A16" s="80" t="s">
        <v>11</v>
      </c>
      <c r="B16" s="51"/>
      <c r="C16" s="51"/>
      <c r="D16" s="72"/>
    </row>
    <row r="17" spans="1:4" ht="25.9" customHeight="1" x14ac:dyDescent="0.25">
      <c r="A17" s="88" t="s">
        <v>12</v>
      </c>
      <c r="B17" s="64"/>
      <c r="C17" s="64"/>
      <c r="D17" s="74"/>
    </row>
    <row r="18" spans="1:4" ht="30" customHeight="1" x14ac:dyDescent="0.25">
      <c r="A18" s="81" t="s">
        <v>13</v>
      </c>
      <c r="B18" s="77"/>
      <c r="C18" s="77"/>
      <c r="D18" s="78"/>
    </row>
    <row r="19" spans="1:4" ht="19.899999999999999" customHeight="1" x14ac:dyDescent="0.25">
      <c r="A19" s="91" t="s">
        <v>14</v>
      </c>
      <c r="B19" s="64"/>
      <c r="C19" s="64"/>
      <c r="D19" s="64"/>
    </row>
    <row r="20" spans="1:4" ht="18" customHeight="1" x14ac:dyDescent="0.25">
      <c r="A20" s="82" t="s">
        <v>15</v>
      </c>
      <c r="B20" s="64"/>
      <c r="C20" s="64"/>
      <c r="D20" s="64"/>
    </row>
    <row r="21" spans="1:4" ht="18" customHeight="1" x14ac:dyDescent="0.25">
      <c r="A21" s="82" t="s">
        <v>16</v>
      </c>
      <c r="B21" s="64"/>
      <c r="C21" s="64"/>
      <c r="D21" s="64"/>
    </row>
    <row r="22" spans="1:4" ht="18" customHeight="1" x14ac:dyDescent="0.25">
      <c r="A22" s="89" t="s">
        <v>17</v>
      </c>
      <c r="B22" s="64"/>
      <c r="C22" s="64"/>
      <c r="D22" s="64"/>
    </row>
    <row r="24" spans="1:4" ht="25.15" customHeight="1" x14ac:dyDescent="0.25">
      <c r="A24" s="85" t="s">
        <v>18</v>
      </c>
      <c r="B24" s="64"/>
      <c r="C24" s="64"/>
      <c r="D24" s="64"/>
    </row>
    <row r="25" spans="1:4" ht="19.899999999999999" customHeight="1" x14ac:dyDescent="0.25">
      <c r="A25" s="71" t="s">
        <v>19</v>
      </c>
      <c r="B25" s="51"/>
      <c r="C25" s="51"/>
      <c r="D25" s="72"/>
    </row>
    <row r="26" spans="1:4" ht="19.899999999999999" customHeight="1" x14ac:dyDescent="0.25">
      <c r="A26" s="13"/>
      <c r="B26" s="79" t="s">
        <v>20</v>
      </c>
      <c r="C26" s="64"/>
      <c r="D26" s="74"/>
    </row>
    <row r="27" spans="1:4" ht="19.899999999999999" customHeight="1" x14ac:dyDescent="0.25">
      <c r="A27" s="13"/>
      <c r="B27" s="79" t="s">
        <v>21</v>
      </c>
      <c r="C27" s="64"/>
      <c r="D27" s="74"/>
    </row>
    <row r="28" spans="1:4" ht="19.899999999999999" customHeight="1" x14ac:dyDescent="0.25">
      <c r="A28" s="14"/>
      <c r="B28" s="76" t="s">
        <v>22</v>
      </c>
      <c r="C28" s="77"/>
      <c r="D28" s="78"/>
    </row>
    <row r="30" spans="1:4" ht="19.899999999999999" customHeight="1" x14ac:dyDescent="0.25">
      <c r="A30" s="71" t="s">
        <v>23</v>
      </c>
      <c r="B30" s="51"/>
      <c r="C30" s="51"/>
      <c r="D30" s="72"/>
    </row>
    <row r="31" spans="1:4" ht="34.15" customHeight="1" x14ac:dyDescent="0.25">
      <c r="A31" s="14"/>
      <c r="B31" s="76" t="s">
        <v>24</v>
      </c>
      <c r="C31" s="77"/>
      <c r="D31" s="78"/>
    </row>
    <row r="33" spans="1:5" ht="19.899999999999999" customHeight="1" x14ac:dyDescent="0.25">
      <c r="A33" s="71" t="s">
        <v>25</v>
      </c>
      <c r="B33" s="51"/>
      <c r="C33" s="51"/>
      <c r="D33" s="72"/>
    </row>
    <row r="34" spans="1:5" ht="19.899999999999999" customHeight="1" x14ac:dyDescent="0.25">
      <c r="A34" s="13"/>
      <c r="B34" s="79" t="s">
        <v>26</v>
      </c>
      <c r="C34" s="64"/>
      <c r="D34" s="74"/>
    </row>
    <row r="35" spans="1:5" ht="19.899999999999999" customHeight="1" x14ac:dyDescent="0.25">
      <c r="A35" s="14"/>
      <c r="B35" s="76" t="s">
        <v>27</v>
      </c>
      <c r="C35" s="77"/>
      <c r="D35" s="78"/>
    </row>
    <row r="36" spans="1:5" ht="19.899999999999999" customHeight="1" x14ac:dyDescent="0.25">
      <c r="B36" s="12"/>
    </row>
    <row r="37" spans="1:5" ht="19.899999999999999" customHeight="1" x14ac:dyDescent="0.25">
      <c r="A37" s="84" t="s">
        <v>28</v>
      </c>
      <c r="B37" s="77"/>
      <c r="C37" s="77"/>
      <c r="D37" s="77"/>
      <c r="E37" s="77"/>
    </row>
    <row r="38" spans="1:5" ht="19.899999999999999" customHeight="1" x14ac:dyDescent="0.25">
      <c r="A38" s="26" t="s">
        <v>29</v>
      </c>
      <c r="B38" s="26" t="s">
        <v>30</v>
      </c>
      <c r="C38" s="26" t="s">
        <v>31</v>
      </c>
      <c r="D38" s="26" t="s">
        <v>32</v>
      </c>
      <c r="E38" s="26" t="s">
        <v>33</v>
      </c>
    </row>
    <row r="39" spans="1:5" ht="19.899999999999999" customHeight="1" x14ac:dyDescent="0.25">
      <c r="A39" s="29" t="s">
        <v>34</v>
      </c>
      <c r="B39" s="28">
        <v>30</v>
      </c>
      <c r="C39" s="30">
        <v>25</v>
      </c>
      <c r="D39" s="30">
        <v>15</v>
      </c>
      <c r="E39" s="30">
        <v>30</v>
      </c>
    </row>
    <row r="40" spans="1:5" x14ac:dyDescent="0.25">
      <c r="A40" s="28" t="s">
        <v>35</v>
      </c>
      <c r="B40" s="28">
        <v>35</v>
      </c>
      <c r="C40" s="30">
        <v>25</v>
      </c>
      <c r="D40" s="30">
        <v>15</v>
      </c>
      <c r="E40" s="30">
        <v>25</v>
      </c>
    </row>
    <row r="41" spans="1:5" x14ac:dyDescent="0.25">
      <c r="A41" s="28" t="s">
        <v>36</v>
      </c>
      <c r="B41" s="28">
        <v>30</v>
      </c>
      <c r="C41" s="30">
        <v>25</v>
      </c>
      <c r="D41" s="30">
        <v>10</v>
      </c>
      <c r="E41" s="30">
        <v>35</v>
      </c>
    </row>
    <row r="42" spans="1:5" x14ac:dyDescent="0.25">
      <c r="A42" s="28" t="s">
        <v>37</v>
      </c>
      <c r="B42" s="28">
        <v>30</v>
      </c>
      <c r="C42" s="30">
        <v>30</v>
      </c>
      <c r="D42" s="30">
        <v>15</v>
      </c>
      <c r="E42" s="30">
        <v>25</v>
      </c>
    </row>
    <row r="43" spans="1:5" x14ac:dyDescent="0.25">
      <c r="A43" s="37"/>
      <c r="B43" s="37"/>
    </row>
    <row r="44" spans="1:5" ht="25.15" customHeight="1" x14ac:dyDescent="0.25">
      <c r="A44" s="69" t="s">
        <v>38</v>
      </c>
      <c r="B44" s="70"/>
    </row>
    <row r="45" spans="1:5" ht="19.899999999999999" customHeight="1" x14ac:dyDescent="0.25">
      <c r="A45" s="25" t="s">
        <v>39</v>
      </c>
      <c r="B45" s="25" t="s">
        <v>40</v>
      </c>
    </row>
    <row r="46" spans="1:5" ht="19.899999999999999" customHeight="1" x14ac:dyDescent="0.25">
      <c r="A46" s="28" t="s">
        <v>41</v>
      </c>
      <c r="B46" s="28" t="s">
        <v>42</v>
      </c>
    </row>
    <row r="47" spans="1:5" ht="19.899999999999999" customHeight="1" x14ac:dyDescent="0.25">
      <c r="A47" s="28" t="s">
        <v>43</v>
      </c>
      <c r="B47" s="28" t="s">
        <v>44</v>
      </c>
    </row>
    <row r="48" spans="1:5" ht="19.899999999999999" customHeight="1" x14ac:dyDescent="0.25">
      <c r="A48" s="29" t="s">
        <v>45</v>
      </c>
      <c r="B48" s="28" t="s">
        <v>46</v>
      </c>
    </row>
    <row r="49" spans="1:2" ht="19.899999999999999" customHeight="1" x14ac:dyDescent="0.25">
      <c r="A49" s="38"/>
      <c r="B49" s="38"/>
    </row>
    <row r="50" spans="1:2" ht="21" customHeight="1" x14ac:dyDescent="0.25">
      <c r="A50" s="31" t="s">
        <v>47</v>
      </c>
      <c r="B50" s="32" t="s">
        <v>48</v>
      </c>
    </row>
    <row r="51" spans="1:2" x14ac:dyDescent="0.25">
      <c r="A51" s="15" t="s">
        <v>49</v>
      </c>
      <c r="B51" s="22">
        <v>0.8</v>
      </c>
    </row>
    <row r="52" spans="1:2" x14ac:dyDescent="0.25">
      <c r="A52" s="15" t="s">
        <v>44</v>
      </c>
      <c r="B52" s="22">
        <v>1</v>
      </c>
    </row>
    <row r="54" spans="1:2" ht="18" customHeight="1" x14ac:dyDescent="0.25">
      <c r="A54" s="31" t="s">
        <v>50</v>
      </c>
      <c r="B54" s="32" t="s">
        <v>48</v>
      </c>
    </row>
    <row r="55" spans="1:2" x14ac:dyDescent="0.25">
      <c r="A55" s="15" t="s">
        <v>49</v>
      </c>
      <c r="B55" s="22">
        <v>0.8</v>
      </c>
    </row>
    <row r="56" spans="1:2" x14ac:dyDescent="0.25">
      <c r="A56" s="15" t="s">
        <v>44</v>
      </c>
      <c r="B56" s="22">
        <v>1</v>
      </c>
    </row>
    <row r="57" spans="1:2" x14ac:dyDescent="0.25">
      <c r="A57" s="15" t="s">
        <v>46</v>
      </c>
      <c r="B57" s="22">
        <v>1.2</v>
      </c>
    </row>
    <row r="59" spans="1:2" ht="18" customHeight="1" x14ac:dyDescent="0.25">
      <c r="A59" s="31" t="s">
        <v>51</v>
      </c>
      <c r="B59" s="32" t="s">
        <v>52</v>
      </c>
    </row>
    <row r="60" spans="1:2" x14ac:dyDescent="0.25">
      <c r="A60" s="15" t="s">
        <v>53</v>
      </c>
      <c r="B60" s="22">
        <v>0.5</v>
      </c>
    </row>
    <row r="61" spans="1:2" x14ac:dyDescent="0.25">
      <c r="A61" s="15" t="s">
        <v>54</v>
      </c>
      <c r="B61" s="22">
        <v>0.5</v>
      </c>
    </row>
    <row r="63" spans="1:2" ht="18" customHeight="1" x14ac:dyDescent="0.25">
      <c r="A63" s="31" t="s">
        <v>55</v>
      </c>
      <c r="B63" s="32" t="s">
        <v>52</v>
      </c>
    </row>
    <row r="64" spans="1:2" x14ac:dyDescent="0.25">
      <c r="A64" s="15" t="s">
        <v>56</v>
      </c>
      <c r="B64" s="22">
        <v>0.4</v>
      </c>
    </row>
    <row r="65" spans="1:2" x14ac:dyDescent="0.25">
      <c r="A65" s="15" t="s">
        <v>57</v>
      </c>
      <c r="B65" s="22">
        <v>0.35</v>
      </c>
    </row>
    <row r="66" spans="1:2" x14ac:dyDescent="0.25">
      <c r="A66" s="15" t="s">
        <v>58</v>
      </c>
      <c r="B66" s="22">
        <v>0.25</v>
      </c>
    </row>
  </sheetData>
  <mergeCells count="30">
    <mergeCell ref="A5:D5"/>
    <mergeCell ref="A17:D17"/>
    <mergeCell ref="A22:D22"/>
    <mergeCell ref="A4:D4"/>
    <mergeCell ref="B8:D8"/>
    <mergeCell ref="A20:D20"/>
    <mergeCell ref="B13:D13"/>
    <mergeCell ref="A19:D19"/>
    <mergeCell ref="B6:D6"/>
    <mergeCell ref="A30:D30"/>
    <mergeCell ref="B9:D9"/>
    <mergeCell ref="A37:E37"/>
    <mergeCell ref="A24:D24"/>
    <mergeCell ref="A11:D11"/>
    <mergeCell ref="A44:B44"/>
    <mergeCell ref="A33:D33"/>
    <mergeCell ref="B12:D12"/>
    <mergeCell ref="A1:D1"/>
    <mergeCell ref="B35:D35"/>
    <mergeCell ref="B26:D26"/>
    <mergeCell ref="A25:D25"/>
    <mergeCell ref="A16:D16"/>
    <mergeCell ref="B7:D7"/>
    <mergeCell ref="A18:D18"/>
    <mergeCell ref="B31:D31"/>
    <mergeCell ref="A3:D3"/>
    <mergeCell ref="A21:D21"/>
    <mergeCell ref="B27:D27"/>
    <mergeCell ref="B34:D34"/>
    <mergeCell ref="B28:D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0"/>
  <sheetViews>
    <sheetView tabSelected="1" zoomScaleNormal="100" zoomScaleSheetLayoutView="100" workbookViewId="0">
      <selection activeCell="M7" sqref="M7"/>
    </sheetView>
  </sheetViews>
  <sheetFormatPr defaultRowHeight="15" x14ac:dyDescent="0.25"/>
  <cols>
    <col min="1" max="1" width="25.140625" customWidth="1"/>
    <col min="2" max="2" width="21.42578125" customWidth="1"/>
    <col min="3" max="3" width="15.28515625" customWidth="1"/>
    <col min="4" max="4" width="25.42578125" customWidth="1"/>
  </cols>
  <sheetData>
    <row r="1" spans="1:4" x14ac:dyDescent="0.25">
      <c r="A1" s="49" t="s">
        <v>63</v>
      </c>
      <c r="B1" s="47"/>
      <c r="C1" s="47"/>
      <c r="D1" s="44"/>
    </row>
    <row r="3" spans="1:4" ht="19.899999999999999" customHeight="1" x14ac:dyDescent="0.25">
      <c r="A3" s="35" t="s">
        <v>64</v>
      </c>
      <c r="B3" s="40" t="s">
        <v>175</v>
      </c>
      <c r="C3" s="35" t="s">
        <v>66</v>
      </c>
      <c r="D3" s="41"/>
    </row>
    <row r="4" spans="1:4" ht="19.899999999999999" customHeight="1" x14ac:dyDescent="0.25">
      <c r="A4" s="35" t="s">
        <v>29</v>
      </c>
      <c r="B4" s="36" t="str">
        <f>IF(VLOOKUP(B3,'NHÂN SỰ'!A:B,2,0)=0,"",VLOOKUP(B3,'NHÂN SỰ'!A:B,2,0))</f>
        <v>Design System</v>
      </c>
      <c r="C4" s="35" t="s">
        <v>67</v>
      </c>
      <c r="D4" s="41"/>
    </row>
    <row r="6" spans="1:4" ht="18" customHeight="1" x14ac:dyDescent="0.25">
      <c r="A6" s="46" t="s">
        <v>68</v>
      </c>
      <c r="B6" s="47"/>
      <c r="C6" s="47"/>
      <c r="D6" s="44"/>
    </row>
    <row r="7" spans="1:4" x14ac:dyDescent="0.25">
      <c r="A7" s="21" t="s">
        <v>69</v>
      </c>
      <c r="B7" s="21" t="s">
        <v>70</v>
      </c>
      <c r="C7" s="21" t="s">
        <v>71</v>
      </c>
      <c r="D7" s="21" t="s">
        <v>48</v>
      </c>
    </row>
    <row r="8" spans="1:4" x14ac:dyDescent="0.25">
      <c r="A8" s="16" t="s">
        <v>72</v>
      </c>
      <c r="B8" s="17">
        <f>IF(B4="",0,INDEX('CẤU TRÚC &amp; TRỌNG SỐ'!B$39:B$42, MATCH(TRIM(B$4), 'CẤU TRÚC &amp; TRỌNG SỐ'!A$39:A$42, 0)))</f>
        <v>30</v>
      </c>
      <c r="C8" s="42" t="s">
        <v>44</v>
      </c>
      <c r="D8" s="17">
        <f>IF(C8="","", B8*VLOOKUP(TRIM(UPPER(C8)), 'CẤU TRÚC &amp; TRỌNG SỐ'!A$51:B$52, 2, FALSE)/100)</f>
        <v>0.3</v>
      </c>
    </row>
    <row r="9" spans="1:4" ht="30" x14ac:dyDescent="0.25">
      <c r="A9" s="16" t="s">
        <v>73</v>
      </c>
      <c r="B9" s="17">
        <f>IF(B4="",0,INDEX('CẤU TRÚC &amp; TRỌNG SỐ'!C$39:C$42, MATCH(TRIM(B$4), 'CẤU TRÚC &amp; TRỌNG SỐ'!A$39:A$42, 0)))</f>
        <v>25</v>
      </c>
      <c r="C9" s="42" t="s">
        <v>44</v>
      </c>
      <c r="D9" s="17">
        <f>IF(C9="","", B9*VLOOKUP(TRIM(UPPER(C9)), 'CẤU TRÚC &amp; TRỌNG SỐ'!A$51:B$52, 2, FALSE)/100)</f>
        <v>0.25</v>
      </c>
    </row>
    <row r="10" spans="1:4" ht="28.9" customHeight="1" x14ac:dyDescent="0.25">
      <c r="A10" s="16" t="s">
        <v>74</v>
      </c>
      <c r="B10" s="17">
        <f>IF(B4="",0,INDEX('CẤU TRÚC &amp; TRỌNG SỐ'!D$39:D$42, MATCH(TRIM(B$4), 'CẤU TRÚC &amp; TRỌNG SỐ'!A$39:A$42, 0)))</f>
        <v>15</v>
      </c>
      <c r="C10" s="42" t="s">
        <v>44</v>
      </c>
      <c r="D10" s="17">
        <f>IF(C10="","", B10*VLOOKUP(TRIM(UPPER(C10)), 'CẤU TRÚC &amp; TRỌNG SỐ'!A$51:B$52, 2, FALSE)/100)</f>
        <v>0.15</v>
      </c>
    </row>
    <row r="11" spans="1:4" ht="28.9" customHeight="1" x14ac:dyDescent="0.25">
      <c r="A11" s="16" t="s">
        <v>75</v>
      </c>
      <c r="B11" s="17">
        <f>IF(B4="",0,INDEX('CẤU TRÚC &amp; TRỌNG SỐ'!E$39:E$42, MATCH(TRIM(B$4), 'CẤU TRÚC &amp; TRỌNG SỐ'!A$39:A$42, 0)))</f>
        <v>30</v>
      </c>
      <c r="C11" s="42" t="s">
        <v>44</v>
      </c>
      <c r="D11" s="17">
        <f>IF(C11="","", B11*VLOOKUP(TRIM(UPPER(C11)), 'CẤU TRÚC &amp; TRỌNG SỐ'!A$51:B$52, 2, FALSE)/100)</f>
        <v>0.3</v>
      </c>
    </row>
    <row r="12" spans="1:4" x14ac:dyDescent="0.25">
      <c r="A12" s="39" t="s">
        <v>179</v>
      </c>
      <c r="B12" s="18">
        <f>SUM(B8:B11)</f>
        <v>100</v>
      </c>
      <c r="C12" s="19"/>
      <c r="D12" s="19">
        <f>IF(OR(D8="", D9="", D10="", D11=""), "", SUM(D8:D11))</f>
        <v>1</v>
      </c>
    </row>
    <row r="13" spans="1:4" x14ac:dyDescent="0.25">
      <c r="A13" s="58" t="s">
        <v>77</v>
      </c>
      <c r="B13" s="59"/>
      <c r="C13" s="60"/>
      <c r="D13" s="20" t="str">
        <f>IF(D12="","", IF(SUM(D8:D11)&gt;0.8,"ĐẠT","CHƯA ĐẠT"))</f>
        <v>ĐẠT</v>
      </c>
    </row>
    <row r="14" spans="1:4" ht="18" customHeight="1" x14ac:dyDescent="0.25"/>
    <row r="15" spans="1:4" ht="18" customHeight="1" x14ac:dyDescent="0.25">
      <c r="A15" s="46" t="s">
        <v>78</v>
      </c>
      <c r="B15" s="47"/>
      <c r="C15" s="47"/>
      <c r="D15" s="44"/>
    </row>
    <row r="16" spans="1:4" ht="33" customHeight="1" x14ac:dyDescent="0.25">
      <c r="A16" s="25" t="s">
        <v>79</v>
      </c>
      <c r="B16" s="25" t="s">
        <v>80</v>
      </c>
      <c r="C16" s="45" t="s">
        <v>81</v>
      </c>
      <c r="D16" s="44"/>
    </row>
    <row r="17" spans="1:4" ht="43.15" customHeight="1" x14ac:dyDescent="0.25">
      <c r="A17" s="27" t="s">
        <v>82</v>
      </c>
      <c r="B17" s="27" t="s">
        <v>83</v>
      </c>
      <c r="C17" s="53" t="s">
        <v>46</v>
      </c>
      <c r="D17" s="54"/>
    </row>
    <row r="18" spans="1:4" ht="43.15" customHeight="1" x14ac:dyDescent="0.25">
      <c r="A18" s="27" t="s">
        <v>84</v>
      </c>
      <c r="B18" s="27" t="s">
        <v>85</v>
      </c>
      <c r="C18" s="53" t="s">
        <v>44</v>
      </c>
      <c r="D18" s="54"/>
    </row>
    <row r="19" spans="1:4" ht="43.15" customHeight="1" x14ac:dyDescent="0.25">
      <c r="A19" s="27" t="s">
        <v>86</v>
      </c>
      <c r="B19" s="27" t="s">
        <v>87</v>
      </c>
      <c r="C19" s="53" t="s">
        <v>46</v>
      </c>
      <c r="D19" s="54"/>
    </row>
    <row r="20" spans="1:4" ht="24" customHeight="1" x14ac:dyDescent="0.25">
      <c r="A20" s="55" t="s">
        <v>76</v>
      </c>
      <c r="B20" s="44"/>
      <c r="C20" s="43">
        <f>IF(COUNTA(C17:C19)=0,"",
 IFERROR(VLOOKUP(C17,'CẤU TRÚC &amp; TRỌNG SỐ'!A$55:B$57,2,0),0)*'CẤU TRÚC &amp; TRỌNG SỐ'!B64
+IFERROR(VLOOKUP(C18,'CẤU TRÚC &amp; TRỌNG SỐ'!A$55:B$57,2,0),0)*'CẤU TRÚC &amp; TRỌNG SỐ'!B65
+IFERROR(VLOOKUP(C19,'CẤU TRÚC &amp; TRỌNG SỐ'!A$55:B$57,2,0),0)*'CẤU TRÚC &amp; TRỌNG SỐ'!B66)</f>
        <v>1.1299999999999999</v>
      </c>
      <c r="D20" s="44"/>
    </row>
    <row r="21" spans="1:4" ht="25.15" customHeight="1" x14ac:dyDescent="0.25">
      <c r="A21" s="33"/>
      <c r="B21" s="33"/>
      <c r="C21" s="34"/>
      <c r="D21" s="34"/>
    </row>
    <row r="22" spans="1:4" x14ac:dyDescent="0.25">
      <c r="A22" s="63" t="s">
        <v>88</v>
      </c>
      <c r="B22" s="64"/>
      <c r="C22" s="64"/>
      <c r="D22" s="64"/>
    </row>
    <row r="23" spans="1:4" ht="24" customHeight="1" x14ac:dyDescent="0.25">
      <c r="A23" s="52" t="s">
        <v>76</v>
      </c>
      <c r="B23" s="44"/>
      <c r="C23" s="43">
        <f>IF(OR(D12="",C20=""),"",D12*'CẤU TRÚC &amp; TRỌNG SỐ'!B60+C20*'CẤU TRÚC &amp; TRỌNG SỐ'!B61)</f>
        <v>1.0649999999999999</v>
      </c>
      <c r="D23" s="44"/>
    </row>
    <row r="24" spans="1:4" ht="24" customHeight="1" x14ac:dyDescent="0.25">
      <c r="A24" s="61" t="s">
        <v>89</v>
      </c>
      <c r="B24" s="44"/>
      <c r="C24" s="62" t="str">
        <f>IF(C23="","KHÔNG CÓ",
   IF(ROUND(C23,2)&lt;1,"CHƯA ĐẠT",
          IF(ROUND(C23,2)=1,"ĐẠT","TỐT")
   )
)</f>
        <v>TỐT</v>
      </c>
      <c r="D24" s="44"/>
    </row>
    <row r="25" spans="1:4" ht="18" customHeight="1" x14ac:dyDescent="0.25">
      <c r="A25" s="50"/>
      <c r="B25" s="51"/>
      <c r="C25" s="51"/>
      <c r="D25" s="51"/>
    </row>
    <row r="26" spans="1:4" x14ac:dyDescent="0.25">
      <c r="A26" s="56" t="s">
        <v>90</v>
      </c>
      <c r="B26" s="47"/>
      <c r="C26" s="47"/>
      <c r="D26" s="44"/>
    </row>
    <row r="27" spans="1:4" x14ac:dyDescent="0.25">
      <c r="A27" s="24" t="s">
        <v>91</v>
      </c>
      <c r="B27" s="57" t="s">
        <v>80</v>
      </c>
      <c r="C27" s="47"/>
      <c r="D27" s="44"/>
    </row>
    <row r="28" spans="1:4" ht="34.15" customHeight="1" x14ac:dyDescent="0.25">
      <c r="A28" s="11" t="s">
        <v>92</v>
      </c>
      <c r="B28" s="48" t="s">
        <v>93</v>
      </c>
      <c r="C28" s="47"/>
      <c r="D28" s="44"/>
    </row>
    <row r="29" spans="1:4" ht="34.15" customHeight="1" x14ac:dyDescent="0.25">
      <c r="A29" s="11" t="s">
        <v>94</v>
      </c>
      <c r="B29" s="48" t="s">
        <v>95</v>
      </c>
      <c r="C29" s="47"/>
      <c r="D29" s="44"/>
    </row>
    <row r="30" spans="1:4" ht="34.15" customHeight="1" x14ac:dyDescent="0.25">
      <c r="A30" s="11" t="s">
        <v>96</v>
      </c>
      <c r="B30" s="48" t="s">
        <v>97</v>
      </c>
      <c r="C30" s="47"/>
      <c r="D30" s="44"/>
    </row>
  </sheetData>
  <mergeCells count="21">
    <mergeCell ref="A24:B24"/>
    <mergeCell ref="C24:D24"/>
    <mergeCell ref="A22:D22"/>
    <mergeCell ref="B29:D29"/>
    <mergeCell ref="B28:D28"/>
    <mergeCell ref="C20:D20"/>
    <mergeCell ref="C16:D16"/>
    <mergeCell ref="A15:D15"/>
    <mergeCell ref="B30:D30"/>
    <mergeCell ref="A1:D1"/>
    <mergeCell ref="A6:D6"/>
    <mergeCell ref="A25:D25"/>
    <mergeCell ref="A23:B23"/>
    <mergeCell ref="C17:D17"/>
    <mergeCell ref="C23:D23"/>
    <mergeCell ref="A20:B20"/>
    <mergeCell ref="A26:D26"/>
    <mergeCell ref="C19:D19"/>
    <mergeCell ref="B27:D27"/>
    <mergeCell ref="C18:D18"/>
    <mergeCell ref="A13:C13"/>
  </mergeCells>
  <conditionalFormatting sqref="C8:C11">
    <cfRule type="cellIs" dxfId="13" priority="4" operator="equal">
      <formula>1</formula>
    </cfRule>
    <cfRule type="cellIs" dxfId="12" priority="5" operator="equal">
      <formula>2</formula>
    </cfRule>
    <cfRule type="cellIs" dxfId="11" priority="6" operator="equal">
      <formula>3</formula>
    </cfRule>
    <cfRule type="cellIs" dxfId="10" priority="7" operator="equal">
      <formula>4</formula>
    </cfRule>
    <cfRule type="cellIs" dxfId="9" priority="8" operator="equal">
      <formula>5</formula>
    </cfRule>
  </conditionalFormatting>
  <conditionalFormatting sqref="C24">
    <cfRule type="containsText" dxfId="8" priority="1" operator="containsText" text="TỐT">
      <formula>NOT(ISERROR(SEARCH("TỐT",C24)))</formula>
    </cfRule>
    <cfRule type="beginsWith" dxfId="7" priority="2" operator="beginsWith" text="ĐẠT">
      <formula>LEFT(C24,LEN("ĐẠT"))="ĐẠT"</formula>
    </cfRule>
    <cfRule type="containsText" dxfId="6" priority="3" operator="containsText" text="CHƯA">
      <formula>NOT(ISERROR(SEARCH("CHƯA",C24)))</formula>
    </cfRule>
  </conditionalFormatting>
  <conditionalFormatting sqref="D13">
    <cfRule type="containsText" dxfId="5" priority="10" operator="containsText" text="CHƯA Đạt">
      <formula>NOT(ISERROR(SEARCH("CHƯA Đạt",D13)))</formula>
    </cfRule>
    <cfRule type="containsText" dxfId="4" priority="12" operator="containsText" text="ĐẠT">
      <formula>NOT(ISERROR(SEARCH("ĐẠT",D13)))</formula>
    </cfRule>
  </conditionalFormatting>
  <dataValidations count="3">
    <dataValidation type="list" allowBlank="1" sqref="C17:C19" xr:uid="{00000000-0002-0000-0200-000000000000}">
      <formula1>"Chưa Đạt,Đạt,Tốt"</formula1>
    </dataValidation>
    <dataValidation allowBlank="1" sqref="C16" xr:uid="{00000000-0002-0000-0200-000001000000}"/>
    <dataValidation type="list" allowBlank="1" sqref="C8:C11" xr:uid="{00000000-0002-0000-0200-000002000000}">
      <formula1>"Chưa Đạt,Đạt"</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4000000}">
          <x14:formula1>
            <xm:f>'NHÂN SỰ'!$A$2:$A$6</xm:f>
          </x14:formula1>
          <xm:sqref>B3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applyStyles="1" summaryBelow="0"/>
  </sheetPr>
  <dimension ref="A1:E30"/>
  <sheetViews>
    <sheetView zoomScale="110" zoomScaleNormal="110" workbookViewId="0">
      <pane ySplit="3" topLeftCell="A4" activePane="bottomLeft" state="frozen"/>
      <selection pane="bottomLeft" activeCell="B33" sqref="B33"/>
    </sheetView>
  </sheetViews>
  <sheetFormatPr defaultRowHeight="15" outlineLevelRow="1" x14ac:dyDescent="0.25"/>
  <cols>
    <col min="1" max="1" width="22" customWidth="1"/>
    <col min="2" max="4" width="50" customWidth="1"/>
    <col min="5" max="5" width="38.7109375" customWidth="1"/>
  </cols>
  <sheetData>
    <row r="1" spans="1:4" ht="30" customHeight="1" x14ac:dyDescent="0.25">
      <c r="A1" s="92" t="s">
        <v>98</v>
      </c>
      <c r="B1" s="64"/>
      <c r="C1" s="64"/>
      <c r="D1" s="64"/>
    </row>
    <row r="2" spans="1:4" ht="36.6" customHeight="1" x14ac:dyDescent="0.25">
      <c r="A2" s="96" t="s">
        <v>99</v>
      </c>
      <c r="B2" s="64"/>
      <c r="C2" s="64"/>
      <c r="D2" s="64"/>
    </row>
    <row r="4" spans="1:4" ht="22.15" customHeight="1" collapsed="1" x14ac:dyDescent="0.25">
      <c r="A4" s="93" t="s">
        <v>35</v>
      </c>
      <c r="B4" s="64"/>
      <c r="C4" s="64"/>
      <c r="D4" s="64"/>
    </row>
    <row r="5" spans="1:4" ht="19.899999999999999" hidden="1" customHeight="1" outlineLevel="1" x14ac:dyDescent="0.25">
      <c r="A5" s="4" t="s">
        <v>69</v>
      </c>
      <c r="B5" s="4" t="s">
        <v>100</v>
      </c>
      <c r="C5" s="4" t="s">
        <v>101</v>
      </c>
      <c r="D5" s="4" t="s">
        <v>102</v>
      </c>
    </row>
    <row r="6" spans="1:4" ht="79.900000000000006" hidden="1" customHeight="1" outlineLevel="1" x14ac:dyDescent="0.25">
      <c r="A6" s="5" t="s">
        <v>72</v>
      </c>
      <c r="B6" s="6" t="s">
        <v>103</v>
      </c>
      <c r="C6" s="6" t="s">
        <v>104</v>
      </c>
      <c r="D6" s="7" t="s">
        <v>105</v>
      </c>
    </row>
    <row r="7" spans="1:4" ht="79.900000000000006" hidden="1" customHeight="1" outlineLevel="1" x14ac:dyDescent="0.25">
      <c r="A7" s="5" t="s">
        <v>73</v>
      </c>
      <c r="B7" s="7" t="s">
        <v>106</v>
      </c>
      <c r="C7" s="7" t="s">
        <v>107</v>
      </c>
      <c r="D7" s="7" t="s">
        <v>108</v>
      </c>
    </row>
    <row r="8" spans="1:4" ht="79.900000000000006" hidden="1" customHeight="1" outlineLevel="1" x14ac:dyDescent="0.25">
      <c r="A8" s="5" t="s">
        <v>109</v>
      </c>
      <c r="B8" s="7" t="s">
        <v>110</v>
      </c>
      <c r="C8" s="7" t="s">
        <v>111</v>
      </c>
      <c r="D8" s="7" t="s">
        <v>112</v>
      </c>
    </row>
    <row r="9" spans="1:4" ht="79.900000000000006" hidden="1" customHeight="1" outlineLevel="1" collapsed="1" x14ac:dyDescent="0.25">
      <c r="A9" s="5" t="s">
        <v>113</v>
      </c>
      <c r="B9" s="7" t="s">
        <v>114</v>
      </c>
      <c r="C9" s="7" t="s">
        <v>115</v>
      </c>
      <c r="D9" s="7" t="s">
        <v>116</v>
      </c>
    </row>
    <row r="11" spans="1:4" ht="22.15" customHeight="1" collapsed="1" x14ac:dyDescent="0.25">
      <c r="A11" s="93" t="s">
        <v>34</v>
      </c>
      <c r="B11" s="64"/>
      <c r="C11" s="64"/>
      <c r="D11" s="64"/>
    </row>
    <row r="12" spans="1:4" ht="19.899999999999999" hidden="1" customHeight="1" outlineLevel="1" x14ac:dyDescent="0.25">
      <c r="A12" s="4" t="s">
        <v>69</v>
      </c>
      <c r="B12" s="4" t="s">
        <v>100</v>
      </c>
      <c r="C12" s="4" t="s">
        <v>101</v>
      </c>
      <c r="D12" s="4" t="s">
        <v>102</v>
      </c>
    </row>
    <row r="13" spans="1:4" ht="79.900000000000006" hidden="1" customHeight="1" outlineLevel="1" x14ac:dyDescent="0.25">
      <c r="A13" s="5" t="s">
        <v>72</v>
      </c>
      <c r="B13" s="7" t="s">
        <v>117</v>
      </c>
      <c r="C13" s="7" t="s">
        <v>118</v>
      </c>
      <c r="D13" s="7" t="s">
        <v>119</v>
      </c>
    </row>
    <row r="14" spans="1:4" ht="79.900000000000006" hidden="1" customHeight="1" outlineLevel="1" x14ac:dyDescent="0.25">
      <c r="A14" s="5" t="s">
        <v>73</v>
      </c>
      <c r="B14" s="7" t="s">
        <v>120</v>
      </c>
      <c r="C14" s="7" t="s">
        <v>121</v>
      </c>
      <c r="D14" s="7" t="s">
        <v>122</v>
      </c>
    </row>
    <row r="15" spans="1:4" ht="79.900000000000006" hidden="1" customHeight="1" outlineLevel="1" x14ac:dyDescent="0.25">
      <c r="A15" s="5" t="s">
        <v>109</v>
      </c>
      <c r="B15" s="7" t="s">
        <v>123</v>
      </c>
      <c r="C15" s="7" t="s">
        <v>124</v>
      </c>
      <c r="D15" s="7" t="s">
        <v>125</v>
      </c>
    </row>
    <row r="16" spans="1:4" ht="79.900000000000006" hidden="1" customHeight="1" outlineLevel="1" collapsed="1" x14ac:dyDescent="0.25">
      <c r="A16" s="5" t="s">
        <v>113</v>
      </c>
      <c r="B16" s="7" t="s">
        <v>126</v>
      </c>
      <c r="C16" s="7" t="s">
        <v>127</v>
      </c>
      <c r="D16" s="7" t="s">
        <v>128</v>
      </c>
    </row>
    <row r="18" spans="1:5" ht="22.15" customHeight="1" collapsed="1" x14ac:dyDescent="0.25">
      <c r="A18" s="93" t="s">
        <v>129</v>
      </c>
      <c r="B18" s="64"/>
      <c r="C18" s="64"/>
      <c r="D18" s="64"/>
    </row>
    <row r="19" spans="1:5" ht="19.899999999999999" hidden="1" customHeight="1" outlineLevel="1" x14ac:dyDescent="0.25">
      <c r="A19" s="4" t="s">
        <v>69</v>
      </c>
      <c r="B19" s="4" t="s">
        <v>100</v>
      </c>
      <c r="C19" s="4" t="s">
        <v>101</v>
      </c>
      <c r="D19" s="4" t="s">
        <v>102</v>
      </c>
    </row>
    <row r="20" spans="1:5" ht="79.900000000000006" hidden="1" customHeight="1" outlineLevel="1" x14ac:dyDescent="0.25">
      <c r="A20" s="5" t="s">
        <v>72</v>
      </c>
      <c r="B20" s="7" t="s">
        <v>130</v>
      </c>
      <c r="C20" s="7" t="s">
        <v>131</v>
      </c>
      <c r="D20" s="7" t="s">
        <v>132</v>
      </c>
    </row>
    <row r="21" spans="1:5" ht="79.900000000000006" hidden="1" customHeight="1" outlineLevel="1" x14ac:dyDescent="0.25">
      <c r="A21" s="5" t="s">
        <v>73</v>
      </c>
      <c r="B21" s="7" t="s">
        <v>133</v>
      </c>
      <c r="C21" s="7" t="s">
        <v>134</v>
      </c>
      <c r="D21" s="7" t="s">
        <v>135</v>
      </c>
    </row>
    <row r="22" spans="1:5" ht="79.900000000000006" hidden="1" customHeight="1" outlineLevel="1" x14ac:dyDescent="0.25">
      <c r="A22" s="5" t="s">
        <v>109</v>
      </c>
      <c r="B22" s="7" t="s">
        <v>136</v>
      </c>
      <c r="C22" s="7" t="s">
        <v>137</v>
      </c>
      <c r="D22" s="7" t="s">
        <v>138</v>
      </c>
    </row>
    <row r="23" spans="1:5" ht="79.900000000000006" hidden="1" customHeight="1" outlineLevel="1" collapsed="1" x14ac:dyDescent="0.25">
      <c r="A23" s="5" t="s">
        <v>113</v>
      </c>
      <c r="B23" s="7" t="s">
        <v>139</v>
      </c>
      <c r="C23" s="7" t="s">
        <v>140</v>
      </c>
      <c r="D23" s="7" t="s">
        <v>141</v>
      </c>
    </row>
    <row r="25" spans="1:5" ht="22.15" customHeight="1" collapsed="1" x14ac:dyDescent="0.25">
      <c r="A25" s="94" t="s">
        <v>142</v>
      </c>
      <c r="B25" s="95"/>
      <c r="C25" s="95"/>
      <c r="D25" s="95"/>
      <c r="E25" s="95"/>
    </row>
    <row r="26" spans="1:5" ht="19.899999999999999" hidden="1" customHeight="1" outlineLevel="1" x14ac:dyDescent="0.25">
      <c r="A26" s="4" t="s">
        <v>69</v>
      </c>
      <c r="B26" s="4" t="s">
        <v>100</v>
      </c>
      <c r="C26" s="4" t="s">
        <v>101</v>
      </c>
      <c r="D26" s="4" t="s">
        <v>102</v>
      </c>
      <c r="E26" s="4" t="s">
        <v>143</v>
      </c>
    </row>
    <row r="27" spans="1:5" ht="79.900000000000006" hidden="1" customHeight="1" outlineLevel="1" x14ac:dyDescent="0.25">
      <c r="A27" s="5" t="s">
        <v>72</v>
      </c>
      <c r="B27" s="7" t="s">
        <v>144</v>
      </c>
      <c r="C27" s="7" t="s">
        <v>145</v>
      </c>
      <c r="D27" s="7" t="s">
        <v>146</v>
      </c>
      <c r="E27" s="23" t="s">
        <v>147</v>
      </c>
    </row>
    <row r="28" spans="1:5" ht="79.900000000000006" hidden="1" customHeight="1" outlineLevel="1" x14ac:dyDescent="0.25">
      <c r="A28" s="5" t="s">
        <v>73</v>
      </c>
      <c r="B28" s="7" t="s">
        <v>148</v>
      </c>
      <c r="C28" s="7" t="s">
        <v>149</v>
      </c>
      <c r="D28" s="7" t="s">
        <v>150</v>
      </c>
      <c r="E28" s="23" t="s">
        <v>151</v>
      </c>
    </row>
    <row r="29" spans="1:5" ht="79.900000000000006" hidden="1" customHeight="1" outlineLevel="1" x14ac:dyDescent="0.25">
      <c r="A29" s="5" t="s">
        <v>109</v>
      </c>
      <c r="B29" s="7" t="s">
        <v>152</v>
      </c>
      <c r="C29" s="7" t="s">
        <v>153</v>
      </c>
      <c r="D29" s="7" t="s">
        <v>154</v>
      </c>
      <c r="E29" s="23" t="s">
        <v>155</v>
      </c>
    </row>
    <row r="30" spans="1:5" ht="79.900000000000006" hidden="1" customHeight="1" outlineLevel="1" collapsed="1" x14ac:dyDescent="0.25">
      <c r="A30" s="5" t="s">
        <v>113</v>
      </c>
      <c r="B30" s="7" t="s">
        <v>156</v>
      </c>
      <c r="C30" s="7" t="s">
        <v>157</v>
      </c>
      <c r="D30" s="7" t="s">
        <v>158</v>
      </c>
      <c r="E30" s="23" t="s">
        <v>159</v>
      </c>
    </row>
  </sheetData>
  <mergeCells count="6">
    <mergeCell ref="A1:D1"/>
    <mergeCell ref="A18:D18"/>
    <mergeCell ref="A4:D4"/>
    <mergeCell ref="A25:E25"/>
    <mergeCell ref="A2:D2"/>
    <mergeCell ref="A11:D11"/>
  </mergeCells>
  <pageMargins left="0.75" right="0.75" top="1" bottom="1" header="0.5" footer="0.5"/>
  <tableParts count="4">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D0C41-9673-45B2-9EAD-BA190E719E0D}">
  <dimension ref="A1:B6"/>
  <sheetViews>
    <sheetView workbookViewId="0">
      <selection activeCell="A20" sqref="A20"/>
    </sheetView>
  </sheetViews>
  <sheetFormatPr defaultRowHeight="15" x14ac:dyDescent="0.25"/>
  <cols>
    <col min="1" max="1" width="26.7109375" customWidth="1"/>
    <col min="2" max="2" width="20.5703125" customWidth="1"/>
  </cols>
  <sheetData>
    <row r="1" spans="1:2" ht="18.75" x14ac:dyDescent="0.25">
      <c r="A1" s="31" t="s">
        <v>174</v>
      </c>
      <c r="B1" s="31" t="s">
        <v>180</v>
      </c>
    </row>
    <row r="2" spans="1:2" x14ac:dyDescent="0.25">
      <c r="A2" s="15" t="s">
        <v>65</v>
      </c>
      <c r="B2" s="41" t="s">
        <v>37</v>
      </c>
    </row>
    <row r="3" spans="1:2" x14ac:dyDescent="0.25">
      <c r="A3" s="15" t="s">
        <v>175</v>
      </c>
      <c r="B3" s="41" t="s">
        <v>34</v>
      </c>
    </row>
    <row r="4" spans="1:2" x14ac:dyDescent="0.25">
      <c r="A4" s="15" t="s">
        <v>176</v>
      </c>
      <c r="B4" s="41" t="s">
        <v>36</v>
      </c>
    </row>
    <row r="5" spans="1:2" x14ac:dyDescent="0.25">
      <c r="A5" s="15" t="s">
        <v>177</v>
      </c>
      <c r="B5" s="41" t="s">
        <v>36</v>
      </c>
    </row>
    <row r="6" spans="1:2" x14ac:dyDescent="0.25">
      <c r="A6" s="15" t="s">
        <v>178</v>
      </c>
      <c r="B6" s="41" t="s">
        <v>36</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FC5A9D5-3731-4B61-BA5A-0361007D6BD7}">
          <x14:formula1>
            <xm:f>'CẤU TRÚC &amp; TRỌNG SỐ'!$A$39:$A$42</xm:f>
          </x14:formula1>
          <xm:sqref>B2:B6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5"/>
  <sheetViews>
    <sheetView workbookViewId="0">
      <selection activeCell="C16" sqref="C16"/>
    </sheetView>
  </sheetViews>
  <sheetFormatPr defaultRowHeight="15" x14ac:dyDescent="0.25"/>
  <cols>
    <col min="1" max="1" width="6" customWidth="1"/>
    <col min="2" max="2" width="24" customWidth="1"/>
    <col min="3" max="3" width="22" customWidth="1"/>
    <col min="4" max="4" width="14" customWidth="1"/>
    <col min="5" max="5" width="10" customWidth="1"/>
    <col min="6" max="6" width="14" customWidth="1"/>
    <col min="7" max="7" width="8" customWidth="1"/>
    <col min="8" max="8" width="28" customWidth="1"/>
    <col min="9" max="14" width="15" customWidth="1"/>
  </cols>
  <sheetData>
    <row r="1" spans="1:14" ht="28.15" customHeight="1" x14ac:dyDescent="0.25">
      <c r="A1" s="98" t="s">
        <v>160</v>
      </c>
      <c r="B1" s="64"/>
      <c r="C1" s="64"/>
      <c r="D1" s="64"/>
      <c r="E1" s="64"/>
      <c r="F1" s="64"/>
      <c r="G1" s="64"/>
      <c r="H1" s="64"/>
    </row>
    <row r="3" spans="1:14" x14ac:dyDescent="0.25">
      <c r="A3" s="97" t="s">
        <v>161</v>
      </c>
      <c r="B3" s="64"/>
      <c r="C3" s="64"/>
      <c r="D3" s="64"/>
      <c r="E3" s="64"/>
      <c r="F3" s="64"/>
      <c r="G3" s="64"/>
      <c r="H3" s="64"/>
    </row>
    <row r="5" spans="1:14" ht="28.9" customHeight="1" x14ac:dyDescent="0.25">
      <c r="A5" s="1" t="s">
        <v>162</v>
      </c>
      <c r="B5" s="1" t="s">
        <v>64</v>
      </c>
      <c r="C5" s="1" t="s">
        <v>29</v>
      </c>
      <c r="D5" s="1" t="s">
        <v>66</v>
      </c>
      <c r="E5" s="1" t="s">
        <v>163</v>
      </c>
      <c r="F5" s="1" t="s">
        <v>40</v>
      </c>
      <c r="G5" s="1" t="s">
        <v>164</v>
      </c>
      <c r="H5" s="1" t="s">
        <v>165</v>
      </c>
      <c r="I5" s="8" t="s">
        <v>166</v>
      </c>
      <c r="J5" s="8" t="s">
        <v>167</v>
      </c>
      <c r="K5" s="8" t="s">
        <v>39</v>
      </c>
      <c r="L5" s="10" t="s">
        <v>166</v>
      </c>
      <c r="M5" s="10" t="s">
        <v>167</v>
      </c>
      <c r="N5" s="10" t="s">
        <v>39</v>
      </c>
    </row>
    <row r="6" spans="1:14" x14ac:dyDescent="0.25">
      <c r="A6" s="2">
        <v>1</v>
      </c>
      <c r="B6" s="3" t="s">
        <v>168</v>
      </c>
      <c r="C6" s="3" t="s">
        <v>169</v>
      </c>
      <c r="D6" s="2"/>
      <c r="E6" s="2"/>
      <c r="F6" s="2" t="str">
        <f t="shared" ref="F6:F35" si="0">IF(E6="","",IF(E6&lt;2.5,"Chưa đạt",IF(E6&lt;=3.2,"Đạt",IF(E6&lt;=4,"Tốt","Rất tốt"))))</f>
        <v/>
      </c>
      <c r="G6" s="2" t="str">
        <f>IF(E6="","",_xludf.RANK.EQ(E6,$E$6:$E$35,0))</f>
        <v/>
      </c>
      <c r="H6" s="3"/>
      <c r="J6" s="9" t="e">
        <f>'ĐÁNH GIÁ HIỆU SUẤT P2'!#REF!</f>
        <v>#REF!</v>
      </c>
      <c r="K6" s="9" t="e">
        <f>'ĐÁNH GIÁ HIỆU SUẤT P2'!#REF!</f>
        <v>#REF!</v>
      </c>
      <c r="M6" s="9" t="e">
        <f>'ĐÁNH GIÁ HIỆU SUẤT P2'!#REF!</f>
        <v>#REF!</v>
      </c>
      <c r="N6" s="9">
        <f>'ĐÁNH GIÁ HIỆU SUẤT P2'!B20</f>
        <v>0</v>
      </c>
    </row>
    <row r="7" spans="1:14" x14ac:dyDescent="0.25">
      <c r="A7" s="2">
        <v>2</v>
      </c>
      <c r="B7" s="3" t="s">
        <v>170</v>
      </c>
      <c r="C7" s="3" t="s">
        <v>171</v>
      </c>
      <c r="D7" s="2"/>
      <c r="E7" s="2"/>
      <c r="F7" s="2" t="str">
        <f t="shared" si="0"/>
        <v/>
      </c>
      <c r="G7" s="2" t="str">
        <f>IF(E7="","",_xludf.RANK.EQ(E7,$E$6:$E$35,0))</f>
        <v/>
      </c>
      <c r="H7" s="3"/>
      <c r="J7" s="9" t="e">
        <f>'ĐÁNH GIÁ HIỆU SUẤT P2'!#REF!</f>
        <v>#REF!</v>
      </c>
      <c r="K7" s="9" t="e">
        <f>'ĐÁNH GIÁ HIỆU SUẤT P2'!#REF!</f>
        <v>#REF!</v>
      </c>
      <c r="M7" s="9" t="e">
        <f>'ĐÁNH GIÁ HIỆU SUẤT P2'!#REF!</f>
        <v>#REF!</v>
      </c>
      <c r="N7" s="9">
        <f>'ĐÁNH GIÁ HIỆU SUẤT P2'!B20</f>
        <v>0</v>
      </c>
    </row>
    <row r="8" spans="1:14" x14ac:dyDescent="0.25">
      <c r="A8" s="2">
        <v>3</v>
      </c>
      <c r="B8" s="3" t="s">
        <v>172</v>
      </c>
      <c r="C8" s="3" t="s">
        <v>171</v>
      </c>
      <c r="D8" s="2"/>
      <c r="E8" s="2"/>
      <c r="F8" s="2" t="str">
        <f t="shared" si="0"/>
        <v/>
      </c>
      <c r="G8" s="2" t="str">
        <f>IF(E8="","",_xludf.RANK.EQ(E8,$E$6:$E$35,0))</f>
        <v/>
      </c>
      <c r="H8" s="3"/>
      <c r="J8" s="9" t="e">
        <f>'ĐÁNH GIÁ HIỆU SUẤT P2'!#REF!</f>
        <v>#REF!</v>
      </c>
      <c r="K8" s="9" t="e">
        <f>'ĐÁNH GIÁ HIỆU SUẤT P2'!#REF!</f>
        <v>#REF!</v>
      </c>
      <c r="M8" s="9" t="e">
        <f>'ĐÁNH GIÁ HIỆU SUẤT P2'!#REF!</f>
        <v>#REF!</v>
      </c>
      <c r="N8" s="9">
        <f>'ĐÁNH GIÁ HIỆU SUẤT P2'!B20</f>
        <v>0</v>
      </c>
    </row>
    <row r="9" spans="1:14" x14ac:dyDescent="0.25">
      <c r="A9" s="2">
        <v>4</v>
      </c>
      <c r="B9" s="3" t="s">
        <v>173</v>
      </c>
      <c r="C9" s="3" t="s">
        <v>171</v>
      </c>
      <c r="D9" s="2"/>
      <c r="E9" s="2"/>
      <c r="F9" s="2" t="str">
        <f t="shared" si="0"/>
        <v/>
      </c>
      <c r="G9" s="2" t="str">
        <f>IF(E9="","",_xludf.RANK.EQ(E9,$E$6:$E$35,0))</f>
        <v/>
      </c>
      <c r="H9" s="3"/>
      <c r="J9" s="9" t="e">
        <f>'ĐÁNH GIÁ HIỆU SUẤT P2'!#REF!</f>
        <v>#REF!</v>
      </c>
      <c r="K9" s="9" t="e">
        <f>'ĐÁNH GIÁ HIỆU SUẤT P2'!#REF!</f>
        <v>#REF!</v>
      </c>
      <c r="M9" s="9" t="e">
        <f>'ĐÁNH GIÁ HIỆU SUẤT P2'!#REF!</f>
        <v>#REF!</v>
      </c>
      <c r="N9" s="9">
        <f>'ĐÁNH GIÁ HIỆU SUẤT P2'!B20</f>
        <v>0</v>
      </c>
    </row>
    <row r="10" spans="1:14" x14ac:dyDescent="0.25">
      <c r="A10" s="2">
        <v>5</v>
      </c>
      <c r="B10" s="3"/>
      <c r="C10" s="3"/>
      <c r="D10" s="2"/>
      <c r="E10" s="2"/>
      <c r="F10" s="2" t="str">
        <f t="shared" si="0"/>
        <v/>
      </c>
      <c r="G10" s="2" t="str">
        <f>IF(E10="","",_xludf.RANK.EQ(E10,$E$6:$E$35,0))</f>
        <v/>
      </c>
      <c r="H10" s="3"/>
      <c r="J10" s="9" t="e">
        <f>'ĐÁNH GIÁ HIỆU SUẤT P2'!#REF!</f>
        <v>#REF!</v>
      </c>
      <c r="K10" s="9" t="e">
        <f>'ĐÁNH GIÁ HIỆU SUẤT P2'!#REF!</f>
        <v>#REF!</v>
      </c>
      <c r="M10" s="9" t="e">
        <f>'ĐÁNH GIÁ HIỆU SUẤT P2'!#REF!</f>
        <v>#REF!</v>
      </c>
      <c r="N10" s="9">
        <f>'ĐÁNH GIÁ HIỆU SUẤT P2'!B20</f>
        <v>0</v>
      </c>
    </row>
    <row r="11" spans="1:14" x14ac:dyDescent="0.25">
      <c r="A11" s="2">
        <v>6</v>
      </c>
      <c r="B11" s="3"/>
      <c r="C11" s="3"/>
      <c r="D11" s="2"/>
      <c r="E11" s="2"/>
      <c r="F11" s="2" t="str">
        <f t="shared" si="0"/>
        <v/>
      </c>
      <c r="G11" s="2" t="str">
        <f>IF(E11="","",_xludf.RANK.EQ(E11,$E$6:$E$35,0))</f>
        <v/>
      </c>
      <c r="H11" s="3"/>
      <c r="J11" s="9" t="e">
        <f>'ĐÁNH GIÁ HIỆU SUẤT P2'!#REF!</f>
        <v>#REF!</v>
      </c>
      <c r="K11" s="9" t="e">
        <f>'ĐÁNH GIÁ HIỆU SUẤT P2'!#REF!</f>
        <v>#REF!</v>
      </c>
      <c r="M11" s="9" t="e">
        <f>'ĐÁNH GIÁ HIỆU SUẤT P2'!#REF!</f>
        <v>#REF!</v>
      </c>
      <c r="N11" s="9">
        <f>'ĐÁNH GIÁ HIỆU SUẤT P2'!B20</f>
        <v>0</v>
      </c>
    </row>
    <row r="12" spans="1:14" x14ac:dyDescent="0.25">
      <c r="A12" s="2">
        <v>7</v>
      </c>
      <c r="B12" s="3"/>
      <c r="C12" s="3"/>
      <c r="D12" s="2"/>
      <c r="E12" s="2"/>
      <c r="F12" s="2" t="str">
        <f t="shared" si="0"/>
        <v/>
      </c>
      <c r="G12" s="2" t="str">
        <f>IF(E12="","",_xludf.RANK.EQ(E12,$E$6:$E$35,0))</f>
        <v/>
      </c>
      <c r="H12" s="3"/>
      <c r="J12" s="9" t="e">
        <f>'ĐÁNH GIÁ HIỆU SUẤT P2'!#REF!</f>
        <v>#REF!</v>
      </c>
      <c r="K12" s="9" t="e">
        <f>'ĐÁNH GIÁ HIỆU SUẤT P2'!#REF!</f>
        <v>#REF!</v>
      </c>
      <c r="M12" s="9" t="e">
        <f>'ĐÁNH GIÁ HIỆU SUẤT P2'!#REF!</f>
        <v>#REF!</v>
      </c>
      <c r="N12" s="9">
        <f>'ĐÁNH GIÁ HIỆU SUẤT P2'!B20</f>
        <v>0</v>
      </c>
    </row>
    <row r="13" spans="1:14" x14ac:dyDescent="0.25">
      <c r="A13" s="2">
        <v>8</v>
      </c>
      <c r="B13" s="3"/>
      <c r="C13" s="3"/>
      <c r="D13" s="2"/>
      <c r="E13" s="2"/>
      <c r="F13" s="2" t="str">
        <f t="shared" si="0"/>
        <v/>
      </c>
      <c r="G13" s="2" t="str">
        <f>IF(E13="","",_xludf.RANK.EQ(E13,$E$6:$E$35,0))</f>
        <v/>
      </c>
      <c r="H13" s="3"/>
      <c r="J13" s="9" t="e">
        <f>'ĐÁNH GIÁ HIỆU SUẤT P2'!#REF!</f>
        <v>#REF!</v>
      </c>
      <c r="K13" s="9" t="e">
        <f>'ĐÁNH GIÁ HIỆU SUẤT P2'!#REF!</f>
        <v>#REF!</v>
      </c>
      <c r="M13" s="9" t="e">
        <f>'ĐÁNH GIÁ HIỆU SUẤT P2'!#REF!</f>
        <v>#REF!</v>
      </c>
      <c r="N13" s="9">
        <f>'ĐÁNH GIÁ HIỆU SUẤT P2'!B20</f>
        <v>0</v>
      </c>
    </row>
    <row r="14" spans="1:14" x14ac:dyDescent="0.25">
      <c r="A14" s="2">
        <v>9</v>
      </c>
      <c r="B14" s="3"/>
      <c r="C14" s="3"/>
      <c r="D14" s="2"/>
      <c r="E14" s="2"/>
      <c r="F14" s="2" t="str">
        <f t="shared" si="0"/>
        <v/>
      </c>
      <c r="G14" s="2" t="str">
        <f>IF(E14="","",_xludf.RANK.EQ(E14,$E$6:$E$35,0))</f>
        <v/>
      </c>
      <c r="H14" s="3"/>
      <c r="J14" s="9" t="e">
        <f>'ĐÁNH GIÁ HIỆU SUẤT P2'!#REF!</f>
        <v>#REF!</v>
      </c>
      <c r="K14" s="9" t="e">
        <f>'ĐÁNH GIÁ HIỆU SUẤT P2'!#REF!</f>
        <v>#REF!</v>
      </c>
      <c r="M14" s="9" t="e">
        <f>'ĐÁNH GIÁ HIỆU SUẤT P2'!#REF!</f>
        <v>#REF!</v>
      </c>
      <c r="N14" s="9">
        <f>'ĐÁNH GIÁ HIỆU SUẤT P2'!B20</f>
        <v>0</v>
      </c>
    </row>
    <row r="15" spans="1:14" x14ac:dyDescent="0.25">
      <c r="A15" s="2">
        <v>10</v>
      </c>
      <c r="B15" s="3"/>
      <c r="C15" s="3"/>
      <c r="D15" s="2"/>
      <c r="E15" s="2"/>
      <c r="F15" s="2" t="str">
        <f t="shared" si="0"/>
        <v/>
      </c>
      <c r="G15" s="2" t="str">
        <f>IF(E15="","",_xludf.RANK.EQ(E15,$E$6:$E$35,0))</f>
        <v/>
      </c>
      <c r="H15" s="3"/>
      <c r="J15" s="9" t="e">
        <f>'ĐÁNH GIÁ HIỆU SUẤT P2'!#REF!</f>
        <v>#REF!</v>
      </c>
      <c r="K15" s="9" t="e">
        <f>'ĐÁNH GIÁ HIỆU SUẤT P2'!#REF!</f>
        <v>#REF!</v>
      </c>
      <c r="M15" s="9" t="e">
        <f>'ĐÁNH GIÁ HIỆU SUẤT P2'!#REF!</f>
        <v>#REF!</v>
      </c>
      <c r="N15" s="9">
        <f>'ĐÁNH GIÁ HIỆU SUẤT P2'!B20</f>
        <v>0</v>
      </c>
    </row>
    <row r="16" spans="1:14" x14ac:dyDescent="0.25">
      <c r="A16" s="2">
        <v>11</v>
      </c>
      <c r="B16" s="3"/>
      <c r="C16" s="3"/>
      <c r="D16" s="2"/>
      <c r="E16" s="2"/>
      <c r="F16" s="2" t="str">
        <f t="shared" si="0"/>
        <v/>
      </c>
      <c r="G16" s="2" t="str">
        <f>IF(E16="","",_xludf.RANK.EQ(E16,$E$6:$E$35,0))</f>
        <v/>
      </c>
      <c r="H16" s="3"/>
      <c r="J16" s="9" t="e">
        <f>'ĐÁNH GIÁ HIỆU SUẤT P2'!#REF!</f>
        <v>#REF!</v>
      </c>
      <c r="K16" s="9" t="e">
        <f>'ĐÁNH GIÁ HIỆU SUẤT P2'!#REF!</f>
        <v>#REF!</v>
      </c>
      <c r="M16" s="9" t="e">
        <f>'ĐÁNH GIÁ HIỆU SUẤT P2'!#REF!</f>
        <v>#REF!</v>
      </c>
      <c r="N16" s="9">
        <f>'ĐÁNH GIÁ HIỆU SUẤT P2'!B20</f>
        <v>0</v>
      </c>
    </row>
    <row r="17" spans="1:14" x14ac:dyDescent="0.25">
      <c r="A17" s="2">
        <v>12</v>
      </c>
      <c r="B17" s="3"/>
      <c r="C17" s="3"/>
      <c r="D17" s="2"/>
      <c r="E17" s="2"/>
      <c r="F17" s="2" t="str">
        <f t="shared" si="0"/>
        <v/>
      </c>
      <c r="G17" s="2" t="str">
        <f>IF(E17="","",_xludf.RANK.EQ(E17,$E$6:$E$35,0))</f>
        <v/>
      </c>
      <c r="H17" s="3"/>
      <c r="J17" s="9" t="e">
        <f>'ĐÁNH GIÁ HIỆU SUẤT P2'!#REF!</f>
        <v>#REF!</v>
      </c>
      <c r="K17" s="9" t="e">
        <f>'ĐÁNH GIÁ HIỆU SUẤT P2'!#REF!</f>
        <v>#REF!</v>
      </c>
      <c r="M17" s="9" t="e">
        <f>'ĐÁNH GIÁ HIỆU SUẤT P2'!#REF!</f>
        <v>#REF!</v>
      </c>
      <c r="N17" s="9">
        <f>'ĐÁNH GIÁ HIỆU SUẤT P2'!B20</f>
        <v>0</v>
      </c>
    </row>
    <row r="18" spans="1:14" x14ac:dyDescent="0.25">
      <c r="A18" s="2">
        <v>13</v>
      </c>
      <c r="B18" s="3"/>
      <c r="C18" s="3"/>
      <c r="D18" s="2"/>
      <c r="E18" s="2"/>
      <c r="F18" s="2" t="str">
        <f t="shared" si="0"/>
        <v/>
      </c>
      <c r="G18" s="2" t="str">
        <f>IF(E18="","",_xludf.RANK.EQ(E18,$E$6:$E$35,0))</f>
        <v/>
      </c>
      <c r="H18" s="3"/>
      <c r="J18" s="9" t="e">
        <f>'ĐÁNH GIÁ HIỆU SUẤT P2'!#REF!</f>
        <v>#REF!</v>
      </c>
      <c r="K18" s="9" t="e">
        <f>'ĐÁNH GIÁ HIỆU SUẤT P2'!#REF!</f>
        <v>#REF!</v>
      </c>
      <c r="M18" s="9" t="e">
        <f>'ĐÁNH GIÁ HIỆU SUẤT P2'!#REF!</f>
        <v>#REF!</v>
      </c>
      <c r="N18" s="9">
        <f>'ĐÁNH GIÁ HIỆU SUẤT P2'!B20</f>
        <v>0</v>
      </c>
    </row>
    <row r="19" spans="1:14" x14ac:dyDescent="0.25">
      <c r="A19" s="2">
        <v>14</v>
      </c>
      <c r="B19" s="3"/>
      <c r="C19" s="3"/>
      <c r="D19" s="2"/>
      <c r="E19" s="2"/>
      <c r="F19" s="2" t="str">
        <f t="shared" si="0"/>
        <v/>
      </c>
      <c r="G19" s="2" t="str">
        <f>IF(E19="","",_xludf.RANK.EQ(E19,$E$6:$E$35,0))</f>
        <v/>
      </c>
      <c r="H19" s="3"/>
      <c r="J19" s="9" t="e">
        <f>'ĐÁNH GIÁ HIỆU SUẤT P2'!#REF!</f>
        <v>#REF!</v>
      </c>
      <c r="K19" s="9" t="e">
        <f>'ĐÁNH GIÁ HIỆU SUẤT P2'!#REF!</f>
        <v>#REF!</v>
      </c>
      <c r="M19" s="9" t="e">
        <f>'ĐÁNH GIÁ HIỆU SUẤT P2'!#REF!</f>
        <v>#REF!</v>
      </c>
      <c r="N19" s="9">
        <f>'ĐÁNH GIÁ HIỆU SUẤT P2'!B20</f>
        <v>0</v>
      </c>
    </row>
    <row r="20" spans="1:14" x14ac:dyDescent="0.25">
      <c r="A20" s="2">
        <v>15</v>
      </c>
      <c r="B20" s="3"/>
      <c r="C20" s="3"/>
      <c r="D20" s="2"/>
      <c r="E20" s="2"/>
      <c r="F20" s="2" t="str">
        <f t="shared" si="0"/>
        <v/>
      </c>
      <c r="G20" s="2" t="str">
        <f>IF(E20="","",_xludf.RANK.EQ(E20,$E$6:$E$35,0))</f>
        <v/>
      </c>
      <c r="H20" s="3"/>
      <c r="J20" s="9" t="e">
        <f>'ĐÁNH GIÁ HIỆU SUẤT P2'!#REF!</f>
        <v>#REF!</v>
      </c>
      <c r="K20" s="9" t="e">
        <f>'ĐÁNH GIÁ HIỆU SUẤT P2'!#REF!</f>
        <v>#REF!</v>
      </c>
      <c r="M20" s="9" t="e">
        <f>'ĐÁNH GIÁ HIỆU SUẤT P2'!#REF!</f>
        <v>#REF!</v>
      </c>
      <c r="N20" s="9">
        <f>'ĐÁNH GIÁ HIỆU SUẤT P2'!B20</f>
        <v>0</v>
      </c>
    </row>
    <row r="21" spans="1:14" x14ac:dyDescent="0.25">
      <c r="A21" s="2">
        <v>16</v>
      </c>
      <c r="B21" s="3"/>
      <c r="C21" s="3"/>
      <c r="D21" s="2"/>
      <c r="E21" s="2"/>
      <c r="F21" s="2" t="str">
        <f t="shared" si="0"/>
        <v/>
      </c>
      <c r="G21" s="2" t="str">
        <f>IF(E21="","",_xludf.RANK.EQ(E21,$E$6:$E$35,0))</f>
        <v/>
      </c>
      <c r="H21" s="3"/>
      <c r="J21" s="9" t="e">
        <f>'ĐÁNH GIÁ HIỆU SUẤT P2'!#REF!</f>
        <v>#REF!</v>
      </c>
      <c r="K21" s="9" t="e">
        <f>'ĐÁNH GIÁ HIỆU SUẤT P2'!#REF!</f>
        <v>#REF!</v>
      </c>
      <c r="M21" s="9" t="e">
        <f>'ĐÁNH GIÁ HIỆU SUẤT P2'!#REF!</f>
        <v>#REF!</v>
      </c>
      <c r="N21" s="9">
        <f>'ĐÁNH GIÁ HIỆU SUẤT P2'!B20</f>
        <v>0</v>
      </c>
    </row>
    <row r="22" spans="1:14" x14ac:dyDescent="0.25">
      <c r="A22" s="2">
        <v>17</v>
      </c>
      <c r="B22" s="3"/>
      <c r="C22" s="3"/>
      <c r="D22" s="2"/>
      <c r="E22" s="2"/>
      <c r="F22" s="2" t="str">
        <f t="shared" si="0"/>
        <v/>
      </c>
      <c r="G22" s="2" t="str">
        <f>IF(E22="","",_xludf.RANK.EQ(E22,$E$6:$E$35,0))</f>
        <v/>
      </c>
      <c r="H22" s="3"/>
      <c r="J22" s="9" t="e">
        <f>'ĐÁNH GIÁ HIỆU SUẤT P2'!#REF!</f>
        <v>#REF!</v>
      </c>
      <c r="K22" s="9" t="e">
        <f>'ĐÁNH GIÁ HIỆU SUẤT P2'!#REF!</f>
        <v>#REF!</v>
      </c>
      <c r="M22" s="9" t="e">
        <f>'ĐÁNH GIÁ HIỆU SUẤT P2'!#REF!</f>
        <v>#REF!</v>
      </c>
      <c r="N22" s="9">
        <f>'ĐÁNH GIÁ HIỆU SUẤT P2'!B20</f>
        <v>0</v>
      </c>
    </row>
    <row r="23" spans="1:14" x14ac:dyDescent="0.25">
      <c r="A23" s="2">
        <v>18</v>
      </c>
      <c r="B23" s="3"/>
      <c r="C23" s="3"/>
      <c r="D23" s="2"/>
      <c r="E23" s="2"/>
      <c r="F23" s="2" t="str">
        <f t="shared" si="0"/>
        <v/>
      </c>
      <c r="G23" s="2" t="str">
        <f>IF(E23="","",_xludf.RANK.EQ(E23,$E$6:$E$35,0))</f>
        <v/>
      </c>
      <c r="H23" s="3"/>
      <c r="J23" s="9" t="e">
        <f>'ĐÁNH GIÁ HIỆU SUẤT P2'!#REF!</f>
        <v>#REF!</v>
      </c>
      <c r="K23" s="9" t="e">
        <f>'ĐÁNH GIÁ HIỆU SUẤT P2'!#REF!</f>
        <v>#REF!</v>
      </c>
      <c r="M23" s="9" t="e">
        <f>'ĐÁNH GIÁ HIỆU SUẤT P2'!#REF!</f>
        <v>#REF!</v>
      </c>
      <c r="N23" s="9">
        <f>'ĐÁNH GIÁ HIỆU SUẤT P2'!B20</f>
        <v>0</v>
      </c>
    </row>
    <row r="24" spans="1:14" x14ac:dyDescent="0.25">
      <c r="A24" s="2">
        <v>19</v>
      </c>
      <c r="B24" s="3"/>
      <c r="C24" s="3"/>
      <c r="D24" s="2"/>
      <c r="E24" s="2"/>
      <c r="F24" s="2" t="str">
        <f t="shared" si="0"/>
        <v/>
      </c>
      <c r="G24" s="2" t="str">
        <f>IF(E24="","",_xludf.RANK.EQ(E24,$E$6:$E$35,0))</f>
        <v/>
      </c>
      <c r="H24" s="3"/>
      <c r="J24" s="9" t="e">
        <f>'ĐÁNH GIÁ HIỆU SUẤT P2'!#REF!</f>
        <v>#REF!</v>
      </c>
      <c r="K24" s="9" t="e">
        <f>'ĐÁNH GIÁ HIỆU SUẤT P2'!#REF!</f>
        <v>#REF!</v>
      </c>
      <c r="M24" s="9" t="e">
        <f>'ĐÁNH GIÁ HIỆU SUẤT P2'!#REF!</f>
        <v>#REF!</v>
      </c>
      <c r="N24" s="9">
        <f>'ĐÁNH GIÁ HIỆU SUẤT P2'!B20</f>
        <v>0</v>
      </c>
    </row>
    <row r="25" spans="1:14" x14ac:dyDescent="0.25">
      <c r="A25" s="2">
        <v>20</v>
      </c>
      <c r="B25" s="3"/>
      <c r="C25" s="3"/>
      <c r="D25" s="2"/>
      <c r="E25" s="2"/>
      <c r="F25" s="2" t="str">
        <f t="shared" si="0"/>
        <v/>
      </c>
      <c r="G25" s="2" t="str">
        <f>IF(E25="","",_xludf.RANK.EQ(E25,$E$6:$E$35,0))</f>
        <v/>
      </c>
      <c r="H25" s="3"/>
      <c r="J25" s="9" t="e">
        <f>'ĐÁNH GIÁ HIỆU SUẤT P2'!#REF!</f>
        <v>#REF!</v>
      </c>
      <c r="K25" s="9" t="e">
        <f>'ĐÁNH GIÁ HIỆU SUẤT P2'!#REF!</f>
        <v>#REF!</v>
      </c>
      <c r="M25" s="9" t="e">
        <f>'ĐÁNH GIÁ HIỆU SUẤT P2'!#REF!</f>
        <v>#REF!</v>
      </c>
      <c r="N25" s="9">
        <f>'ĐÁNH GIÁ HIỆU SUẤT P2'!B20</f>
        <v>0</v>
      </c>
    </row>
    <row r="26" spans="1:14" x14ac:dyDescent="0.25">
      <c r="A26" s="2">
        <v>21</v>
      </c>
      <c r="B26" s="3"/>
      <c r="C26" s="3"/>
      <c r="D26" s="2"/>
      <c r="E26" s="2"/>
      <c r="F26" s="2" t="str">
        <f t="shared" si="0"/>
        <v/>
      </c>
      <c r="G26" s="2" t="str">
        <f>IF(E26="","",_xludf.RANK.EQ(E26,$E$6:$E$35,0))</f>
        <v/>
      </c>
      <c r="H26" s="3"/>
      <c r="J26" s="9" t="e">
        <f>'ĐÁNH GIÁ HIỆU SUẤT P2'!#REF!</f>
        <v>#REF!</v>
      </c>
      <c r="K26" s="9" t="e">
        <f>'ĐÁNH GIÁ HIỆU SUẤT P2'!#REF!</f>
        <v>#REF!</v>
      </c>
      <c r="M26" s="9" t="e">
        <f>'ĐÁNH GIÁ HIỆU SUẤT P2'!#REF!</f>
        <v>#REF!</v>
      </c>
      <c r="N26" s="9">
        <f>'ĐÁNH GIÁ HIỆU SUẤT P2'!B20</f>
        <v>0</v>
      </c>
    </row>
    <row r="27" spans="1:14" x14ac:dyDescent="0.25">
      <c r="A27" s="2">
        <v>22</v>
      </c>
      <c r="B27" s="3"/>
      <c r="C27" s="3"/>
      <c r="D27" s="2"/>
      <c r="E27" s="2"/>
      <c r="F27" s="2" t="str">
        <f t="shared" si="0"/>
        <v/>
      </c>
      <c r="G27" s="2" t="str">
        <f>IF(E27="","",_xludf.RANK.EQ(E27,$E$6:$E$35,0))</f>
        <v/>
      </c>
      <c r="H27" s="3"/>
      <c r="J27" s="9" t="e">
        <f>'ĐÁNH GIÁ HIỆU SUẤT P2'!#REF!</f>
        <v>#REF!</v>
      </c>
      <c r="K27" s="9" t="e">
        <f>'ĐÁNH GIÁ HIỆU SUẤT P2'!#REF!</f>
        <v>#REF!</v>
      </c>
      <c r="M27" s="9" t="e">
        <f>'ĐÁNH GIÁ HIỆU SUẤT P2'!#REF!</f>
        <v>#REF!</v>
      </c>
      <c r="N27" s="9">
        <f>'ĐÁNH GIÁ HIỆU SUẤT P2'!B20</f>
        <v>0</v>
      </c>
    </row>
    <row r="28" spans="1:14" x14ac:dyDescent="0.25">
      <c r="A28" s="2">
        <v>23</v>
      </c>
      <c r="B28" s="3"/>
      <c r="C28" s="3"/>
      <c r="D28" s="2"/>
      <c r="E28" s="2"/>
      <c r="F28" s="2" t="str">
        <f t="shared" si="0"/>
        <v/>
      </c>
      <c r="G28" s="2" t="str">
        <f>IF(E28="","",_xludf.RANK.EQ(E28,$E$6:$E$35,0))</f>
        <v/>
      </c>
      <c r="H28" s="3"/>
      <c r="J28" s="9" t="e">
        <f>'ĐÁNH GIÁ HIỆU SUẤT P2'!#REF!</f>
        <v>#REF!</v>
      </c>
      <c r="K28" s="9" t="e">
        <f>'ĐÁNH GIÁ HIỆU SUẤT P2'!#REF!</f>
        <v>#REF!</v>
      </c>
      <c r="M28" s="9" t="e">
        <f>'ĐÁNH GIÁ HIỆU SUẤT P2'!#REF!</f>
        <v>#REF!</v>
      </c>
      <c r="N28" s="9">
        <f>'ĐÁNH GIÁ HIỆU SUẤT P2'!B20</f>
        <v>0</v>
      </c>
    </row>
    <row r="29" spans="1:14" x14ac:dyDescent="0.25">
      <c r="A29" s="2">
        <v>24</v>
      </c>
      <c r="B29" s="3"/>
      <c r="C29" s="3"/>
      <c r="D29" s="2"/>
      <c r="E29" s="2"/>
      <c r="F29" s="2" t="str">
        <f t="shared" si="0"/>
        <v/>
      </c>
      <c r="G29" s="2" t="str">
        <f>IF(E29="","",_xludf.RANK.EQ(E29,$E$6:$E$35,0))</f>
        <v/>
      </c>
      <c r="H29" s="3"/>
      <c r="J29" s="9" t="e">
        <f>'ĐÁNH GIÁ HIỆU SUẤT P2'!#REF!</f>
        <v>#REF!</v>
      </c>
      <c r="K29" s="9" t="e">
        <f>'ĐÁNH GIÁ HIỆU SUẤT P2'!#REF!</f>
        <v>#REF!</v>
      </c>
      <c r="M29" s="9" t="e">
        <f>'ĐÁNH GIÁ HIỆU SUẤT P2'!#REF!</f>
        <v>#REF!</v>
      </c>
      <c r="N29" s="9">
        <f>'ĐÁNH GIÁ HIỆU SUẤT P2'!B20</f>
        <v>0</v>
      </c>
    </row>
    <row r="30" spans="1:14" x14ac:dyDescent="0.25">
      <c r="A30" s="2">
        <v>25</v>
      </c>
      <c r="B30" s="3"/>
      <c r="C30" s="3"/>
      <c r="D30" s="2"/>
      <c r="E30" s="2"/>
      <c r="F30" s="2" t="str">
        <f t="shared" si="0"/>
        <v/>
      </c>
      <c r="G30" s="2" t="str">
        <f>IF(E30="","",_xludf.RANK.EQ(E30,$E$6:$E$35,0))</f>
        <v/>
      </c>
      <c r="H30" s="3"/>
      <c r="J30" s="9" t="e">
        <f>'ĐÁNH GIÁ HIỆU SUẤT P2'!#REF!</f>
        <v>#REF!</v>
      </c>
      <c r="K30" s="9" t="e">
        <f>'ĐÁNH GIÁ HIỆU SUẤT P2'!#REF!</f>
        <v>#REF!</v>
      </c>
      <c r="M30" s="9" t="e">
        <f>'ĐÁNH GIÁ HIỆU SUẤT P2'!#REF!</f>
        <v>#REF!</v>
      </c>
      <c r="N30" s="9">
        <f>'ĐÁNH GIÁ HIỆU SUẤT P2'!B20</f>
        <v>0</v>
      </c>
    </row>
    <row r="31" spans="1:14" x14ac:dyDescent="0.25">
      <c r="A31" s="2">
        <v>26</v>
      </c>
      <c r="B31" s="3"/>
      <c r="C31" s="3"/>
      <c r="D31" s="2"/>
      <c r="E31" s="2"/>
      <c r="F31" s="2" t="str">
        <f t="shared" si="0"/>
        <v/>
      </c>
      <c r="G31" s="2" t="str">
        <f>IF(E31="","",_xludf.RANK.EQ(E31,$E$6:$E$35,0))</f>
        <v/>
      </c>
      <c r="H31" s="3"/>
      <c r="J31" s="9" t="e">
        <f>'ĐÁNH GIÁ HIỆU SUẤT P2'!#REF!</f>
        <v>#REF!</v>
      </c>
      <c r="K31" s="9" t="e">
        <f>'ĐÁNH GIÁ HIỆU SUẤT P2'!#REF!</f>
        <v>#REF!</v>
      </c>
      <c r="M31" s="9" t="e">
        <f>'ĐÁNH GIÁ HIỆU SUẤT P2'!#REF!</f>
        <v>#REF!</v>
      </c>
      <c r="N31" s="9">
        <f>'ĐÁNH GIÁ HIỆU SUẤT P2'!B20</f>
        <v>0</v>
      </c>
    </row>
    <row r="32" spans="1:14" x14ac:dyDescent="0.25">
      <c r="A32" s="2">
        <v>27</v>
      </c>
      <c r="B32" s="3"/>
      <c r="C32" s="3"/>
      <c r="D32" s="2"/>
      <c r="E32" s="2"/>
      <c r="F32" s="2" t="str">
        <f t="shared" si="0"/>
        <v/>
      </c>
      <c r="G32" s="2" t="str">
        <f>IF(E32="","",_xludf.RANK.EQ(E32,$E$6:$E$35,0))</f>
        <v/>
      </c>
      <c r="H32" s="3"/>
      <c r="J32" s="9" t="e">
        <f>'ĐÁNH GIÁ HIỆU SUẤT P2'!#REF!</f>
        <v>#REF!</v>
      </c>
      <c r="K32" s="9" t="e">
        <f>'ĐÁNH GIÁ HIỆU SUẤT P2'!#REF!</f>
        <v>#REF!</v>
      </c>
      <c r="M32" s="9" t="e">
        <f>'ĐÁNH GIÁ HIỆU SUẤT P2'!#REF!</f>
        <v>#REF!</v>
      </c>
      <c r="N32" s="9">
        <f>'ĐÁNH GIÁ HIỆU SUẤT P2'!B20</f>
        <v>0</v>
      </c>
    </row>
    <row r="33" spans="1:14" x14ac:dyDescent="0.25">
      <c r="A33" s="2">
        <v>28</v>
      </c>
      <c r="B33" s="3"/>
      <c r="C33" s="3"/>
      <c r="D33" s="2"/>
      <c r="E33" s="2"/>
      <c r="F33" s="2" t="str">
        <f t="shared" si="0"/>
        <v/>
      </c>
      <c r="G33" s="2" t="str">
        <f>IF(E33="","",_xludf.RANK.EQ(E33,$E$6:$E$35,0))</f>
        <v/>
      </c>
      <c r="H33" s="3"/>
      <c r="J33" s="9" t="e">
        <f>'ĐÁNH GIÁ HIỆU SUẤT P2'!#REF!</f>
        <v>#REF!</v>
      </c>
      <c r="K33" s="9" t="e">
        <f>'ĐÁNH GIÁ HIỆU SUẤT P2'!#REF!</f>
        <v>#REF!</v>
      </c>
      <c r="M33" s="9" t="e">
        <f>'ĐÁNH GIÁ HIỆU SUẤT P2'!#REF!</f>
        <v>#REF!</v>
      </c>
      <c r="N33" s="9">
        <f>'ĐÁNH GIÁ HIỆU SUẤT P2'!B20</f>
        <v>0</v>
      </c>
    </row>
    <row r="34" spans="1:14" x14ac:dyDescent="0.25">
      <c r="A34" s="2">
        <v>29</v>
      </c>
      <c r="B34" s="3"/>
      <c r="C34" s="3"/>
      <c r="D34" s="2"/>
      <c r="E34" s="2"/>
      <c r="F34" s="2" t="str">
        <f t="shared" si="0"/>
        <v/>
      </c>
      <c r="G34" s="2" t="str">
        <f>IF(E34="","",_xludf.RANK.EQ(E34,$E$6:$E$35,0))</f>
        <v/>
      </c>
      <c r="H34" s="3"/>
      <c r="J34" s="9" t="e">
        <f>'ĐÁNH GIÁ HIỆU SUẤT P2'!#REF!</f>
        <v>#REF!</v>
      </c>
      <c r="K34" s="9" t="e">
        <f>'ĐÁNH GIÁ HIỆU SUẤT P2'!#REF!</f>
        <v>#REF!</v>
      </c>
      <c r="M34" s="9" t="e">
        <f>'ĐÁNH GIÁ HIỆU SUẤT P2'!#REF!</f>
        <v>#REF!</v>
      </c>
      <c r="N34" s="9">
        <f>'ĐÁNH GIÁ HIỆU SUẤT P2'!B20</f>
        <v>0</v>
      </c>
    </row>
    <row r="35" spans="1:14" x14ac:dyDescent="0.25">
      <c r="A35" s="2">
        <v>30</v>
      </c>
      <c r="B35" s="3"/>
      <c r="C35" s="3"/>
      <c r="D35" s="2"/>
      <c r="E35" s="2"/>
      <c r="F35" s="2" t="str">
        <f t="shared" si="0"/>
        <v/>
      </c>
      <c r="G35" s="2" t="str">
        <f>IF(E35="","",_xludf.RANK.EQ(E35,$E$6:$E$35,0))</f>
        <v/>
      </c>
      <c r="H35" s="3"/>
      <c r="J35" s="9" t="e">
        <f>'ĐÁNH GIÁ HIỆU SUẤT P2'!#REF!</f>
        <v>#REF!</v>
      </c>
      <c r="K35" s="9" t="e">
        <f>'ĐÁNH GIÁ HIỆU SUẤT P2'!#REF!</f>
        <v>#REF!</v>
      </c>
      <c r="M35" s="9" t="e">
        <f>'ĐÁNH GIÁ HIỆU SUẤT P2'!#REF!</f>
        <v>#REF!</v>
      </c>
      <c r="N35" s="9">
        <f>'ĐÁNH GIÁ HIỆU SUẤT P2'!B20</f>
        <v>0</v>
      </c>
    </row>
  </sheetData>
  <mergeCells count="2">
    <mergeCell ref="A3:H3"/>
    <mergeCell ref="A1:H1"/>
  </mergeCells>
  <conditionalFormatting sqref="E6:E35">
    <cfRule type="cellIs" dxfId="3" priority="1" operator="lessThan">
      <formula>2.5</formula>
    </cfRule>
    <cfRule type="cellIs" dxfId="2" priority="2" operator="between">
      <formula>2.5</formula>
      <formula>3.2</formula>
    </cfRule>
    <cfRule type="cellIs" dxfId="1" priority="3" operator="between">
      <formula>3.3</formula>
      <formula>4</formula>
    </cfRule>
    <cfRule type="cellIs" dxfId="0" priority="4" operator="greaterThan">
      <formula>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TỔNG QUAN &amp; LƯU Ý</vt:lpstr>
      <vt:lpstr>CẤU TRÚC &amp; TRỌNG SỐ</vt:lpstr>
      <vt:lpstr>ĐÁNH GIÁ HIỆU SUẤT P2</vt:lpstr>
      <vt:lpstr>MÔ TẢ - PHỤ LỤC</vt:lpstr>
      <vt:lpstr>NHÂN SỰ</vt:lpstr>
      <vt:lpstr>Summary_Ranking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Hổ Bùi Văn</cp:lastModifiedBy>
  <cp:lastPrinted>2026-02-27T01:47:28Z</cp:lastPrinted>
  <dcterms:created xsi:type="dcterms:W3CDTF">2026-01-27T07:04:19Z</dcterms:created>
  <dcterms:modified xsi:type="dcterms:W3CDTF">2026-06-01T06:38:04Z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2026-06-01T06:38:04Z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b15de42e-c2d8-400c-84bd-2d315ec0cb1f</vt:lpwstr>
  </property>
  <property fmtid="{D5CDD505-2E9C-101B-9397-08002B2CF9AE}" pid="7" name="MSIP_Label_defa4170-0d19-0005-0004-bc88714345d2_ActionId">
    <vt:lpwstr>fd629b98-bd2d-49a7-854f-0573195e1a75</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