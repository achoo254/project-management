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E42B0AA9-D360-4548-8428-5639BE0CE4CE}" xr6:coauthVersionLast="47" xr6:coauthVersionMax="47" xr10:uidLastSave="{00000000-0000-0000-0000-000000000000}"/>
  <bookViews>
    <workbookView xWindow="-108" yWindow="-108" windowWidth="23256" windowHeight="125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B4" i="3"/>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9" i="3" l="1"/>
  <c r="B10" i="3"/>
  <c r="B11" i="3"/>
  <c r="D12" i="3"/>
  <c r="D13" i="3" s="1"/>
  <c r="B12" i="3" l="1"/>
  <c r="C23" i="3"/>
</calcChain>
</file>

<file path=xl/sharedStrings.xml><?xml version="1.0" encoding="utf-8"?>
<sst xmlns="http://schemas.openxmlformats.org/spreadsheetml/2006/main" count="245" uniqueCount="182">
  <si>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</si>
  <si>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</si>
  <si>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</si>
  <si>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</si>
  <si>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</si>
  <si>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</si>
  <si>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</si>
  <si>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</si>
  <si>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</si>
  <si>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</si>
  <si>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</si>
  <si>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</si>
  <si>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</si>
  <si>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</si>
  <si>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</si>
  <si>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</si>
  <si>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</si>
  <si>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</si>
  <si>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</si>
  <si>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</si>
  <si>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</si>
  <si>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</si>
  <si>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</si>
  <si>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</si>
  <si>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</si>
  <si>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</si>
  <si>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</si>
  <si>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</si>
  <si>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</si>
  <si>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</si>
  <si>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</si>
  <si>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</si>
  <si>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</si>
  <si>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</si>
  <si>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</si>
  <si>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</si>
  <si>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</si>
  <si>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</si>
  <si>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</si>
  <si>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</si>
  <si>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</si>
  <si>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</si>
  <si>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</si>
  <si>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</si>
  <si>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</si>
  <si>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</si>
  <si>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</si>
  <si>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</si>
  <si>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</si>
  <si>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</si>
  <si>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</si>
  <si>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</si>
  <si>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</si>
  <si>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</si>
  <si>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</si>
  <si>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</si>
  <si>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</si>
  <si>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</si>
  <si>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</si>
  <si>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</si>
  <si>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</si>
  <si>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</si>
  <si>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</si>
  <si>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</si>
  <si>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</si>
  <si>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</si>
  <si>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</si>
  <si>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</si>
  <si>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</si>
  <si>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</si>
  <si>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</si>
  <si>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</si>
  <si>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</si>
  <si>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</si>
  <si>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</si>
  <si>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</si>
  <si>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</si>
  <si>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</si>
  <si>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</si>
  <si>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</si>
  <si>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</si>
  <si>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</si>
  <si>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</si>
  <si>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</si>
  <si>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</si>
  <si>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</si>
  <si>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</si>
  <si>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</si>
  <si>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</si>
  <si>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</si>
  <si>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</si>
  <si>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</si>
  <si>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</si>
  <si>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</si>
  <si>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</si>
  <si>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</si>
  <si>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</si>
  <si>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</si>
  <si>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</si>
  <si>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</si>
  <si>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</si>
  <si>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</si>
  <si>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</si>
  <si>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</si>
  <si>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</si>
  <si>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</si>
  <si>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</si>
  <si>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</si>
  <si>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</si>
  <si>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</si>
  <si>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</si>
  <si>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</si>
  <si>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</si>
  <si>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</si>
  <si>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</si>
  <si>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</si>
  <si>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</si>
  <si>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</si>
  <si>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</si>
  <si>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</si>
  <si>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</si>
  <si>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</si>
  <si>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</si>
  <si>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</si>
  <si>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</si>
  <si>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</si>
  <si>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</si>
  <si>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</si>
  <si>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</si>
  <si>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</si>
  <si>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</si>
  <si>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</si>
  <si>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</si>
  <si>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</si>
  <si>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</si>
  <si>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</si>
  <si>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</si>
  <si>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</si>
  <si>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</si>
  <si>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</si>
  <si>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</si>
  <si>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</si>
  <si>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</si>
  <si>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</si>
  <si>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</si>
  <si>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</si>
  <si>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</si>
  <si>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</si>
  <si>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</si>
  <si>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</si>
  <si>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</si>
  <si>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</si>
  <si>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</si>
  <si>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</si>
  <si>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</si>
  <si>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</si>
  <si>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</si>
  <si>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</si>
  <si>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</si>
  <si>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</si>
  <si>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</si>
  <si>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</si>
  <si>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</si>
  <si>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</si>
  <si>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</si>
  <si>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</si>
  <si>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</si>
  <si>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</si>
  <si>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</si>
  <si>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</si>
  <si>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</si>
  <si>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</si>
  <si>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</si>
  <si>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</si>
  <si>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</si>
  <si>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</si>
  <si>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</si>
  <si>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</si>
  <si>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</si>
  <si>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</si>
  <si>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</si>
  <si>
    <t>NGUYỄN HUY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</si>
</sst>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0" fontId="19" fillId="0" borderId="3" xfId="0" applyFont="1" applyBorder="1" applyAlignment="1">
      <alignment horizontal="left" vertical="center"/>
    </xf>
    <xf numFmtId="0" fontId="0" fillId="0" borderId="16" xfId="0" applyBorder="1"/>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0" fillId="5" borderId="3" xfId="0" applyFill="1" applyBorder="1" applyAlignment="1">
      <alignment horizontal="left" vertical="center" wrapText="1"/>
    </xf>
    <xf numFmtId="0" fontId="0" fillId="0" borderId="15" xfId="0" applyBorder="1"/>
    <xf numFmtId="2" fontId="12" fillId="0" borderId="3" xfId="0" applyNumberFormat="1" applyFont="1" applyBorder="1" applyAlignment="1">
      <alignment horizontal="center" vertical="center" wrapText="1"/>
    </xf>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4" xfId="0" applyFont="1" applyFill="1" applyBorder="1" applyAlignment="1">
      <alignment horizontal="left" vertical="center" wrapText="1"/>
    </xf>
    <xf numFmtId="0" fontId="0" fillId="0" borderId="9" xfId="0" applyBorder="1"/>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0" fillId="0" borderId="6" xfId="0" applyBorder="1"/>
    <xf numFmtId="0" fontId="0" fillId="0" borderId="11" xfId="0" applyBorder="1"/>
    <xf numFmtId="0" fontId="15" fillId="0" borderId="0" xfId="0" applyFont="1" applyAlignment="1">
      <alignment horizontal="left" vertical="center" wrapText="1"/>
    </xf>
    <xf numFmtId="0" fontId="15" fillId="14" borderId="8" xfId="0" applyFont="1" applyFill="1" applyBorder="1" applyAlignment="1">
      <alignment horizontal="left" vertical="center" wrapText="1"/>
    </xf>
    <xf numFmtId="0" fontId="0" fillId="0" borderId="5" xfId="0" applyBorder="1"/>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0" fillId="0" borderId="3"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47"/>
      <c r="C1" s="47"/>
      <c r="D1" s="47"/>
      <c r="E1" s="47"/>
    </row>
    <row r="3" spans="1:5" ht="79.95" customHeight="1" x14ac:dyDescent="0.3">
      <c r="A3" s="68" t="s">
        <v>60</v>
      </c>
      <c r="B3" s="47"/>
      <c r="C3" s="47"/>
      <c r="D3" s="47"/>
      <c r="E3" s="47"/>
    </row>
    <row r="5" spans="1:5" ht="25.05" customHeight="1" x14ac:dyDescent="0.3">
      <c r="A5" s="67" t="s">
        <v>61</v>
      </c>
      <c r="B5" s="47"/>
      <c r="C5" s="47"/>
      <c r="D5" s="47"/>
      <c r="E5" s="47"/>
    </row>
    <row r="6" spans="1:5" ht="60" customHeight="1" x14ac:dyDescent="0.3">
      <c r="A6" s="65" t="s">
        <v>62</v>
      </c>
      <c r="B6" s="47"/>
      <c r="C6" s="47"/>
      <c r="D6" s="47"/>
      <c r="E6" s="47"/>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6" activePane="bottomLeft" state="frozen"/>
      <selection pane="bottomLeft" activeCell="E57" sqref="E5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87" t="s">
        <v>0</v>
      </c>
      <c r="B1" s="47"/>
      <c r="C1" s="47"/>
      <c r="D1" s="47"/>
    </row>
    <row r="3" spans="1:4" ht="25.05" customHeight="1" x14ac:dyDescent="0.3">
      <c r="A3" s="90" t="s">
        <v>1</v>
      </c>
      <c r="B3" s="55"/>
      <c r="C3" s="55"/>
      <c r="D3" s="81"/>
    </row>
    <row r="4" spans="1:4" ht="19.95" customHeight="1" x14ac:dyDescent="0.3">
      <c r="A4" s="73" t="s">
        <v>2</v>
      </c>
      <c r="B4" s="47"/>
      <c r="C4" s="47"/>
      <c r="D4" s="70"/>
    </row>
    <row r="5" spans="1:4" ht="19.95" customHeight="1" x14ac:dyDescent="0.3">
      <c r="A5" s="69" t="s">
        <v>3</v>
      </c>
      <c r="B5" s="47"/>
      <c r="C5" s="47"/>
      <c r="D5" s="70"/>
    </row>
    <row r="6" spans="1:4" ht="18" customHeight="1" x14ac:dyDescent="0.3">
      <c r="A6" s="13"/>
      <c r="B6" s="74" t="s">
        <v>4</v>
      </c>
      <c r="C6" s="47"/>
      <c r="D6" s="70"/>
    </row>
    <row r="7" spans="1:4" ht="18" customHeight="1" x14ac:dyDescent="0.3">
      <c r="A7" s="13"/>
      <c r="B7" s="74" t="s">
        <v>5</v>
      </c>
      <c r="C7" s="47"/>
      <c r="D7" s="70"/>
    </row>
    <row r="8" spans="1:4" ht="18" customHeight="1" x14ac:dyDescent="0.3">
      <c r="A8" s="13"/>
      <c r="B8" s="74" t="s">
        <v>6</v>
      </c>
      <c r="C8" s="47"/>
      <c r="D8" s="70"/>
    </row>
    <row r="9" spans="1:4" ht="18" customHeight="1" x14ac:dyDescent="0.3">
      <c r="A9" s="14"/>
      <c r="B9" s="76" t="s">
        <v>7</v>
      </c>
      <c r="C9" s="77"/>
      <c r="D9" s="78"/>
    </row>
    <row r="11" spans="1:4" ht="19.95" customHeight="1" x14ac:dyDescent="0.3">
      <c r="A11" s="84" t="s">
        <v>8</v>
      </c>
      <c r="B11" s="55"/>
      <c r="C11" s="55"/>
      <c r="D11" s="81"/>
    </row>
    <row r="12" spans="1:4" ht="18" customHeight="1" x14ac:dyDescent="0.3">
      <c r="A12" s="13"/>
      <c r="B12" s="74" t="s">
        <v>9</v>
      </c>
      <c r="C12" s="47"/>
      <c r="D12" s="70"/>
    </row>
    <row r="13" spans="1:4" ht="18" customHeight="1" x14ac:dyDescent="0.3">
      <c r="A13" s="14"/>
      <c r="B13" s="76" t="s">
        <v>10</v>
      </c>
      <c r="C13" s="77"/>
      <c r="D13" s="78"/>
    </row>
    <row r="16" spans="1:4" ht="25.05" customHeight="1" x14ac:dyDescent="0.3">
      <c r="A16" s="90" t="s">
        <v>11</v>
      </c>
      <c r="B16" s="55"/>
      <c r="C16" s="55"/>
      <c r="D16" s="81"/>
    </row>
    <row r="17" spans="1:4" ht="25.8" customHeight="1" x14ac:dyDescent="0.3">
      <c r="A17" s="71" t="s">
        <v>12</v>
      </c>
      <c r="B17" s="47"/>
      <c r="C17" s="47"/>
      <c r="D17" s="70"/>
    </row>
    <row r="18" spans="1:4" ht="30" customHeight="1" x14ac:dyDescent="0.3">
      <c r="A18" s="91" t="s">
        <v>13</v>
      </c>
      <c r="B18" s="77"/>
      <c r="C18" s="77"/>
      <c r="D18" s="78"/>
    </row>
    <row r="19" spans="1:4" ht="19.95" customHeight="1" x14ac:dyDescent="0.3">
      <c r="A19" s="79" t="s">
        <v>14</v>
      </c>
      <c r="B19" s="47"/>
      <c r="C19" s="47"/>
      <c r="D19" s="47"/>
    </row>
    <row r="20" spans="1:4" ht="18" customHeight="1" x14ac:dyDescent="0.3">
      <c r="A20" s="75" t="s">
        <v>15</v>
      </c>
      <c r="B20" s="47"/>
      <c r="C20" s="47"/>
      <c r="D20" s="47"/>
    </row>
    <row r="21" spans="1:4" ht="18" customHeight="1" x14ac:dyDescent="0.3">
      <c r="A21" s="75" t="s">
        <v>16</v>
      </c>
      <c r="B21" s="47"/>
      <c r="C21" s="47"/>
      <c r="D21" s="47"/>
    </row>
    <row r="22" spans="1:4" ht="18" customHeight="1" x14ac:dyDescent="0.3">
      <c r="A22" s="72" t="s">
        <v>17</v>
      </c>
      <c r="B22" s="47"/>
      <c r="C22" s="47"/>
      <c r="D22" s="47"/>
    </row>
    <row r="24" spans="1:4" ht="25.05" customHeight="1" x14ac:dyDescent="0.3">
      <c r="A24" s="83" t="s">
        <v>18</v>
      </c>
      <c r="B24" s="47"/>
      <c r="C24" s="47"/>
      <c r="D24" s="47"/>
    </row>
    <row r="25" spans="1:4" ht="19.95" customHeight="1" x14ac:dyDescent="0.3">
      <c r="A25" s="80" t="s">
        <v>19</v>
      </c>
      <c r="B25" s="55"/>
      <c r="C25" s="55"/>
      <c r="D25" s="81"/>
    </row>
    <row r="26" spans="1:4" ht="19.95" customHeight="1" x14ac:dyDescent="0.3">
      <c r="A26" s="13"/>
      <c r="B26" s="89" t="s">
        <v>20</v>
      </c>
      <c r="C26" s="47"/>
      <c r="D26" s="70"/>
    </row>
    <row r="27" spans="1:4" ht="19.95" customHeight="1" x14ac:dyDescent="0.3">
      <c r="A27" s="13"/>
      <c r="B27" s="89" t="s">
        <v>21</v>
      </c>
      <c r="C27" s="47"/>
      <c r="D27" s="70"/>
    </row>
    <row r="28" spans="1:4" ht="19.95" customHeight="1" x14ac:dyDescent="0.3">
      <c r="A28" s="14"/>
      <c r="B28" s="88" t="s">
        <v>22</v>
      </c>
      <c r="C28" s="77"/>
      <c r="D28" s="78"/>
    </row>
    <row r="30" spans="1:4" ht="19.95" customHeight="1" x14ac:dyDescent="0.3">
      <c r="A30" s="80" t="s">
        <v>23</v>
      </c>
      <c r="B30" s="55"/>
      <c r="C30" s="55"/>
      <c r="D30" s="81"/>
    </row>
    <row r="31" spans="1:4" ht="34.200000000000003" customHeight="1" x14ac:dyDescent="0.3">
      <c r="A31" s="14"/>
      <c r="B31" s="88" t="s">
        <v>24</v>
      </c>
      <c r="C31" s="77"/>
      <c r="D31" s="78"/>
    </row>
    <row r="33" spans="1:5" ht="19.95" customHeight="1" x14ac:dyDescent="0.3">
      <c r="A33" s="80" t="s">
        <v>25</v>
      </c>
      <c r="B33" s="55"/>
      <c r="C33" s="55"/>
      <c r="D33" s="81"/>
    </row>
    <row r="34" spans="1:5" ht="19.95" customHeight="1" x14ac:dyDescent="0.3">
      <c r="A34" s="13"/>
      <c r="B34" s="89" t="s">
        <v>26</v>
      </c>
      <c r="C34" s="47"/>
      <c r="D34" s="70"/>
    </row>
    <row r="35" spans="1:5" ht="19.95" customHeight="1" x14ac:dyDescent="0.3">
      <c r="A35" s="14"/>
      <c r="B35" s="88" t="s">
        <v>27</v>
      </c>
      <c r="C35" s="77"/>
      <c r="D35" s="78"/>
    </row>
    <row r="36" spans="1:5" ht="19.95" customHeight="1" x14ac:dyDescent="0.3">
      <c r="B36" s="12"/>
    </row>
    <row r="37" spans="1:5" ht="19.95" customHeight="1" x14ac:dyDescent="0.3">
      <c r="A37" s="82"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85" t="s">
        <v>38</v>
      </c>
      <c r="B44" s="86"/>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 ref="A30:D30"/>
    <mergeCell ref="B9:D9"/>
    <mergeCell ref="A37:E37"/>
    <mergeCell ref="A24:D24"/>
    <mergeCell ref="A11:D11"/>
    <mergeCell ref="A5:D5"/>
    <mergeCell ref="A17:D17"/>
    <mergeCell ref="A22:D22"/>
    <mergeCell ref="A4:D4"/>
    <mergeCell ref="B8:D8"/>
    <mergeCell ref="A20:D20"/>
    <mergeCell ref="B13:D13"/>
    <mergeCell ref="A19:D19"/>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topLeftCell="A16" zoomScaleNormal="100" zoomScaleSheetLayoutView="100" workbookViewId="0">
      <selection activeCell="A25" sqref="A25:D25"/>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53" t="s">
        <v>63</v>
      </c>
      <c r="B1" s="49"/>
      <c r="C1" s="49"/>
      <c r="D1" s="44"/>
    </row>
    <row r="3" spans="1:4" ht="19.95" customHeight="1" x14ac:dyDescent="0.3">
      <c r="A3" s="35" t="s">
        <v>64</v>
      </c>
      <c r="B3" s="40" t="s">
        <v>181</v>
      </c>
      <c r="C3" s="35" t="s">
        <v>66</v>
      </c>
      <c r="D3" s="41"/>
    </row>
    <row r="4" spans="1:4" ht="19.95" customHeight="1" x14ac:dyDescent="0.3">
      <c r="A4" s="35" t="s">
        <v>29</v>
      </c>
      <c r="B4" s="36" t="str">
        <f>IF(VLOOKUP(B3,'NHÂN SỰ'!A:B,2,0)=0,"",VLOOKUP(B3,'NHÂN SỰ'!A:B,2,0))</f>
        <v>Backend</v>
      </c>
      <c r="C4" s="35" t="s">
        <v>67</v>
      </c>
      <c r="D4" s="41"/>
    </row>
    <row r="6" spans="1:4" ht="18" customHeight="1" x14ac:dyDescent="0.3">
      <c r="A6" s="52" t="s">
        <v>68</v>
      </c>
      <c r="B6" s="49"/>
      <c r="C6" s="49"/>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35</v>
      </c>
      <c r="C8" s="42" t="s">
        <v>44</v>
      </c>
      <c r="D8" s="17">
        <f>IF(C8="","", B8*VLOOKUP(TRIM(UPPER(C8)), 'CẤU TRÚC &amp; TRỌNG SỐ'!A$51:B$52, 2, FALSE)/100)</f>
        <v>0.35</v>
      </c>
    </row>
    <row r="9" spans="1:4" x14ac:dyDescent="0.3">
      <c r="A9" s="16" t="s">
        <v>73</v>
      </c>
      <c r="B9" s="17">
        <f>IF(B4="",0,INDEX('CẤU TRÚC &amp; TRỌNG SỐ'!C$39:C$42, MATCH(TRIM(B$4), 'CẤU TRÚC &amp; TRỌNG SỐ'!A$39:A$42, 0)))</f>
        <v>25</v>
      </c>
      <c r="C9" s="42" t="s">
        <v>44</v>
      </c>
      <c r="D9" s="17">
        <f>IF(C9="","", B9*VLOOKUP(TRIM(UPPER(C9)), 'CẤU TRÚC &amp; TRỌNG SỐ'!A$51:B$52, 2, FALSE)/100)</f>
        <v>0.25</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25</v>
      </c>
      <c r="C11" s="42" t="s">
        <v>44</v>
      </c>
      <c r="D11" s="17">
        <f>IF(C11="","", B11*VLOOKUP(TRIM(UPPER(C11)), 'CẤU TRÚC &amp; TRỌNG SỐ'!A$51:B$52, 2, FALSE)/100)</f>
        <v>0.25</v>
      </c>
    </row>
    <row r="12" spans="1:4" x14ac:dyDescent="0.3">
      <c r="A12" s="39" t="s">
        <v>179</v>
      </c>
      <c r="B12" s="18">
        <f>SUM(B8:B11)</f>
        <v>100</v>
      </c>
      <c r="C12" s="19"/>
      <c r="D12" s="19">
        <f>IF(OR(D8="", D9="", D10="", D11=""), "", SUM(D8:D11))</f>
        <v>1</v>
      </c>
    </row>
    <row r="13" spans="1:4" x14ac:dyDescent="0.3">
      <c r="A13" s="62" t="s">
        <v>77</v>
      </c>
      <c r="B13" s="63"/>
      <c r="C13" s="64"/>
      <c r="D13" s="20" t="str">
        <f>IF(D12="","", IF(SUM(D8:D11)&gt;0.8,"ĐẠT","CHƯA ĐẠT"))</f>
        <v>ĐẠT</v>
      </c>
    </row>
    <row r="14" spans="1:4" ht="18" customHeight="1" x14ac:dyDescent="0.3"/>
    <row r="15" spans="1:4" ht="18" customHeight="1" x14ac:dyDescent="0.3">
      <c r="A15" s="52" t="s">
        <v>78</v>
      </c>
      <c r="B15" s="49"/>
      <c r="C15" s="49"/>
      <c r="D15" s="44"/>
    </row>
    <row r="16" spans="1:4" ht="33" customHeight="1" x14ac:dyDescent="0.3">
      <c r="A16" s="25" t="s">
        <v>79</v>
      </c>
      <c r="B16" s="25" t="s">
        <v>80</v>
      </c>
      <c r="C16" s="51" t="s">
        <v>81</v>
      </c>
      <c r="D16" s="44"/>
    </row>
    <row r="17" spans="1:4" ht="43.2" customHeight="1" x14ac:dyDescent="0.3">
      <c r="A17" s="27" t="s">
        <v>82</v>
      </c>
      <c r="B17" s="27" t="s">
        <v>83</v>
      </c>
      <c r="C17" s="57" t="s">
        <v>44</v>
      </c>
      <c r="D17" s="58"/>
    </row>
    <row r="18" spans="1:4" ht="43.2" customHeight="1" x14ac:dyDescent="0.3">
      <c r="A18" s="27" t="s">
        <v>84</v>
      </c>
      <c r="B18" s="27" t="s">
        <v>85</v>
      </c>
      <c r="C18" s="57" t="s">
        <v>46</v>
      </c>
      <c r="D18" s="58"/>
    </row>
    <row r="19" spans="1:4" ht="43.2" customHeight="1" x14ac:dyDescent="0.3">
      <c r="A19" s="27" t="s">
        <v>86</v>
      </c>
      <c r="B19" s="27" t="s">
        <v>87</v>
      </c>
      <c r="C19" s="57" t="s">
        <v>44</v>
      </c>
      <c r="D19" s="58"/>
    </row>
    <row r="20" spans="1:4" ht="24" customHeight="1" x14ac:dyDescent="0.3">
      <c r="A20" s="59" t="s">
        <v>76</v>
      </c>
      <c r="B20" s="44"/>
      <c r="C20" s="50">
        <f>IF(COUNTA(C17:C19)=0,"",
 IFERROR(VLOOKUP(C17,'CẤU TRÚC &amp; TRỌNG SỐ'!A$55:B$57,2,0),0)*'CẤU TRÚC &amp; TRỌNG SỐ'!B64
+IFERROR(VLOOKUP(C18,'CẤU TRÚC &amp; TRỌNG SỐ'!A$55:B$57,2,0),0)*'CẤU TRÚC &amp; TRỌNG SỐ'!B65
+IFERROR(VLOOKUP(C19,'CẤU TRÚC &amp; TRỌNG SỐ'!A$55:B$57,2,0),0)*'CẤU TRÚC &amp; TRỌNG SỐ'!B66)</f>
        <v>1.07</v>
      </c>
      <c r="D20" s="44"/>
    </row>
    <row r="21" spans="1:4" ht="25.05" customHeight="1" x14ac:dyDescent="0.3">
      <c r="A21" s="33"/>
      <c r="B21" s="33"/>
      <c r="C21" s="34"/>
      <c r="D21" s="34"/>
    </row>
    <row r="22" spans="1:4" x14ac:dyDescent="0.3">
      <c r="A22" s="46" t="s">
        <v>88</v>
      </c>
      <c r="B22" s="47"/>
      <c r="C22" s="47"/>
      <c r="D22" s="47"/>
    </row>
    <row r="23" spans="1:4" ht="24" customHeight="1" x14ac:dyDescent="0.3">
      <c r="A23" s="56" t="s">
        <v>76</v>
      </c>
      <c r="B23" s="44"/>
      <c r="C23" s="50">
        <f>IF(OR(D12="",C20=""),"",D12*'CẤU TRÚC &amp; TRỌNG SỐ'!B60+C20*'CẤU TRÚC &amp; TRỌNG SỐ'!B61)</f>
        <v>1.0350000000000001</v>
      </c>
      <c r="D23" s="44"/>
    </row>
    <row r="24" spans="1:4" ht="24" customHeight="1" x14ac:dyDescent="0.3">
      <c r="A24" s="43" t="s">
        <v>89</v>
      </c>
      <c r="B24" s="44"/>
      <c r="C24" s="45" t="str">
        <f>IF(C23="","KHÔNG CÓ",
   IF(ROUND(C23,2)&lt;1,"CHƯA ĐẠT",
         IF(ROUND(C23,2)=1,"ĐẠT","TỐT")
   )
)</f>
        <v>TỐT</v>
      </c>
      <c r="D24" s="44"/>
    </row>
    <row r="25" spans="1:4" ht="18" customHeight="1" x14ac:dyDescent="0.3">
      <c r="A25" s="54"/>
      <c r="B25" s="55"/>
      <c r="C25" s="55"/>
      <c r="D25" s="55"/>
    </row>
    <row r="26" spans="1:4" x14ac:dyDescent="0.3">
      <c r="A26" s="60" t="s">
        <v>90</v>
      </c>
      <c r="B26" s="49"/>
      <c r="C26" s="49"/>
      <c r="D26" s="44"/>
    </row>
    <row r="27" spans="1:4" x14ac:dyDescent="0.3">
      <c r="A27" s="24" t="s">
        <v>91</v>
      </c>
      <c r="B27" s="61" t="s">
        <v>80</v>
      </c>
      <c r="C27" s="49"/>
      <c r="D27" s="44"/>
    </row>
    <row r="28" spans="1:4" ht="34.200000000000003" customHeight="1" x14ac:dyDescent="0.3">
      <c r="A28" s="11" t="s">
        <v>92</v>
      </c>
      <c r="B28" s="48" t="s">
        <v>93</v>
      </c>
      <c r="C28" s="49"/>
      <c r="D28" s="44"/>
    </row>
    <row r="29" spans="1:4" ht="34.200000000000003" customHeight="1" x14ac:dyDescent="0.3">
      <c r="A29" s="11" t="s">
        <v>94</v>
      </c>
      <c r="B29" s="48" t="s">
        <v>95</v>
      </c>
      <c r="C29" s="49"/>
      <c r="D29" s="44"/>
    </row>
    <row r="30" spans="1:4" ht="34.200000000000003" customHeight="1" x14ac:dyDescent="0.3">
      <c r="A30" s="11" t="s">
        <v>96</v>
      </c>
      <c r="B30" s="48" t="s">
        <v>97</v>
      </c>
      <c r="C30" s="49"/>
      <c r="D30" s="44"/>
    </row>
  </sheetData>
  <mergeCells count="21">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 ref="A24:B24"/>
    <mergeCell ref="C24:D24"/>
    <mergeCell ref="A22:D22"/>
    <mergeCell ref="B29:D29"/>
    <mergeCell ref="B28:D28"/>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SỰ'!$A$2:$A$7</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47"/>
      <c r="C1" s="47"/>
      <c r="D1" s="47"/>
    </row>
    <row r="2" spans="1:4" ht="36.6" customHeight="1" x14ac:dyDescent="0.3">
      <c r="A2" s="96" t="s">
        <v>99</v>
      </c>
      <c r="B2" s="47"/>
      <c r="C2" s="47"/>
      <c r="D2" s="47"/>
    </row>
    <row r="4" spans="1:4" ht="22.05" customHeight="1" collapsed="1" x14ac:dyDescent="0.3">
      <c r="A4" s="93" t="s">
        <v>35</v>
      </c>
      <c r="B4" s="47"/>
      <c r="C4" s="47"/>
      <c r="D4" s="47"/>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47"/>
      <c r="C11" s="47"/>
      <c r="D11" s="47"/>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47"/>
      <c r="C18" s="47"/>
      <c r="D18" s="47"/>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7"/>
  <sheetViews>
    <sheetView workbookViewId="0">
      <selection activeCell="A14" sqref="A14"/>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row r="7" spans="1:2" x14ac:dyDescent="0.3">
      <c r="A7" s="15" t="s">
        <v>181</v>
      </c>
      <c r="B7" s="41"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47"/>
      <c r="C1" s="47"/>
      <c r="D1" s="47"/>
      <c r="E1" s="47"/>
      <c r="F1" s="47"/>
      <c r="G1" s="47"/>
      <c r="H1" s="47"/>
    </row>
    <row r="3" spans="1:14" x14ac:dyDescent="0.3">
      <c r="A3" s="97" t="s">
        <v>161</v>
      </c>
      <c r="B3" s="47"/>
      <c r="C3" s="47"/>
      <c r="D3" s="47"/>
      <c r="E3" s="47"/>
      <c r="F3" s="47"/>
      <c r="G3" s="47"/>
      <c r="H3" s="47"/>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2026-02-27T07:21:05Z</dcterms:modified>
</cp:coreProperties>
</file>