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CONG VIEC\project-management\"/>
    </mc:Choice>
  </mc:AlternateContent>
  <xr:revisionPtr revIDLastSave="0" documentId="13_ncr:1_{5E55BE52-D75F-4EBF-87B4-1E34EA32A4A3}" xr6:coauthVersionLast="47" xr6:coauthVersionMax="47" xr10:uidLastSave="{00000000-0000-0000-0000-000000000000}"/>
  <bookViews>
    <workbookView xWindow="-108" yWindow="-108" windowWidth="30936" windowHeight="16776" firstSheet="1" activeTab="2" xr2:uid="{00000000-000D-0000-FFFF-FFFF00000000}"/>
  </bookViews>
  <sheets>
    <sheet name="Summary_Ranking" sheetId="1" state="hidden" r:id="rId1"/>
    <sheet name="Product_Engineer" sheetId="2" r:id="rId2"/>
    <sheet name="MÔ TẢ - PHỤ LỤ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0" i="2"/>
  <c r="D9" i="2"/>
  <c r="D8" i="2"/>
  <c r="D7" i="2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</calcChain>
</file>

<file path=xl/sharedStrings.xml><?xml version="1.0" encoding="utf-8"?>
<sst xmlns="http://schemas.openxmlformats.org/spreadsheetml/2006/main" count="143" uniqueCount="111">
  <si>
    <t>P2 SUMMARY &amp; RANKING – BP CÔNG NGHỆ</t>
  </si>
  <si>
    <t>Nhập dữ liệu đánh giá của nhiều nhân sự để tự động xếp hạng. Cột 'Điểm P2' có thể nhập tay hoặc liên kết từ sheet role.</t>
  </si>
  <si>
    <t>STT</t>
  </si>
  <si>
    <t>Họ và tên</t>
  </si>
  <si>
    <t>Vai trò</t>
  </si>
  <si>
    <t>Kỳ đánh giá</t>
  </si>
  <si>
    <t>Điểm P2</t>
  </si>
  <si>
    <t>Xếp loại</t>
  </si>
  <si>
    <t>Rank</t>
  </si>
  <si>
    <t>Ghi chú</t>
  </si>
  <si>
    <t>Bùi Văn Hổ</t>
  </si>
  <si>
    <t>Designer, Frontend</t>
  </si>
  <si>
    <t>Nguyễn Huy Hoàng</t>
  </si>
  <si>
    <t>Backend, Frontend</t>
  </si>
  <si>
    <t>Đinh Tiến Chương</t>
  </si>
  <si>
    <t>Nguyễn Đăng Đức</t>
  </si>
  <si>
    <t>P2 PERFORMANCE EVALUATION – Product Engineer</t>
  </si>
  <si>
    <t>Dự án / Squad</t>
  </si>
  <si>
    <t>Người đánh giá</t>
  </si>
  <si>
    <t>Nhóm năng lực</t>
  </si>
  <si>
    <t>Trọng số (%)</t>
  </si>
  <si>
    <t>Điểm (1–5)</t>
  </si>
  <si>
    <t>Điểm quy đổi</t>
  </si>
  <si>
    <t>Nhận xét</t>
  </si>
  <si>
    <t>A. Năng lực kỹ thuật</t>
  </si>
  <si>
    <t>B. Ownership &amp; trách nhiệm</t>
  </si>
  <si>
    <t>C. DevOps &amp; vận hành (bắt buộc)</t>
  </si>
  <si>
    <t>D. AI Agent &amp; cải tiến (bắt buộc)</t>
  </si>
  <si>
    <t>TỔNG P2</t>
  </si>
  <si>
    <t>THANG ĐÁNH GIÁ CHI TIẾT (1–5)</t>
  </si>
  <si>
    <t>Mức</t>
  </si>
  <si>
    <t>Mô tả</t>
  </si>
  <si>
    <t>Phải được hướng dẫn để làm được; còn phụ thuộc người khác; dễ sai sót.</t>
  </si>
  <si>
    <t>Làm được phần việc rõ ràng; cần review sát; chất lượng chưa ổn định.</t>
  </si>
  <si>
    <t>Chủ động hoàn thành; chất lượng ổn; debug/hoàn thiện độc lập trong phạm vi.</t>
  </si>
  <si>
    <t>Làm tốt và ổn định; ít rework; chủ động xử lý rủi ro, nâng chất lượng.</t>
  </si>
  <si>
    <t>Extra: làm vượt kỳ vọng; tối ưu/chuẩn hoá; hướng dẫn người khác, lan toả best-practice.</t>
  </si>
  <si>
    <t>HƯỚNG DẪN XẾP LOẠI (THEO TỔNG P2)</t>
  </si>
  <si>
    <t>Khoảng điểm</t>
  </si>
  <si>
    <t>Gợi ý hành động</t>
  </si>
  <si>
    <t>&lt; 2.5</t>
  </si>
  <si>
    <t>Chưa đạt</t>
  </si>
  <si>
    <t>Cần plan cải thiện; training/mentor; review lại phạm vi công việc.</t>
  </si>
  <si>
    <t>2.5 – 3.2</t>
  </si>
  <si>
    <t>Đạt</t>
  </si>
  <si>
    <t>Đáp ứng yêu cầu level Sơ cấp; tiếp tục tăng ownership.</t>
  </si>
  <si>
    <t>3.3 – 4.0</t>
  </si>
  <si>
    <t>Tốt</t>
  </si>
  <si>
    <t>Phù hợp level Trung cấp; giao task khó hơn; tăng scope end-to-end.</t>
  </si>
  <si>
    <t>&gt; 4.0</t>
  </si>
  <si>
    <t>Rất tốt</t>
  </si>
  <si>
    <t>Ứng viên lên track Senior/Lead; giao ownership dự án / mentor người khác.</t>
  </si>
  <si>
    <t>Backend</t>
  </si>
  <si>
    <t>Cấp độ 1</t>
  </si>
  <si>
    <t>Cấp độ 2</t>
  </si>
  <si>
    <t>Cấp độ 3</t>
  </si>
  <si>
    <t>Tự triển khai tính năng (API + DB); code dễ đọc; tests cơ bản; xử lý trường hợp lỗi không mong muốn xảy ra.</t>
  </si>
  <si>
    <t>Thiết kế kiến trúc/module gọn; cải thiện performance/security; tests chắc; nâng chất lượng qua review.</t>
  </si>
  <si>
    <t>C. DevOps &amp; vận hành</t>
  </si>
  <si>
    <t>D. AI Agent &amp; cải tiến</t>
  </si>
  <si>
    <t>Designer</t>
  </si>
  <si>
    <t>FrontEnd</t>
  </si>
  <si>
    <t>FullStack</t>
  </si>
  <si>
    <t>MÔ TẢ NĂNG LỰC THEO VAI TRÒ</t>
  </si>
  <si>
    <t>Định hướng kiến trúc hệ thống có khả năng mở rộng; chủ động ngăn ngừa rủi ro và lỗi hệ thống; dẫn dắt cải tiến kỹ thuật lớn và hỗ trợ nâng cao năng lực đội ngũ.</t>
  </si>
  <si>
    <t>Bàn giao công việc ổn định; biết tách công việc thành các đầu việc rõ ràng; chịu trách nhiệm xử lý lỗi đến khi hoàn tất; chủ động báo sớm các rủi ro phát sinh.</t>
  </si>
  <si>
    <t>Chủ động quản lý phạm vi và rủi ro công việc; phối hợp hiệu quả với các bộ phận liên quan; giảm phát sinh làm lại nhờ yêu cầu và tài liệu được chuẩn bị rõ ràng.</t>
  </si>
  <si>
    <t>Cải tiến quy trình bàn giao công việc trong đội (tiêu chí hoàn thành, danh sách rà soát); xử lý các điểm nghẽn trong phối hợp giữa các nhóm; nâng cao khả năng dự báo và kiểm soát tiến độ chung.</t>
  </si>
  <si>
    <t>Thực hiện quy trình tích hợp và triển khai tự động; hiểu và sử dụng đúng cấu hình môi trường, thông tin bảo mật; theo dõi nhật ký và lỗi hệ thống; tham gia trực xử lý sự cố khi cần.</t>
  </si>
  <si>
    <t>Chủ động cải thiện quy trình triển khai (tối ưu hiệu năng, kiểm soát chất lượng); bổ sung theo dõi chỉ số và cảnh báo; thực hiện phương án quay lui khi có sự cố; nâng cao độ ổn định và rút ngắn thời gian khắc phục lỗi.</t>
  </si>
  <si>
    <t>Chuẩn hóa quy trình phát hành và giám sát hệ thống; xây dựng hướng dẫn vận hành và xử lý sự cố; chủ trì phân tích nguyên nhân sau sự cố; hướng dẫn và nâng cao năng lực vận hành cho đội ngũ.</t>
  </si>
  <si>
    <t>Xây dựng mẫu yêu cầu và quy trình làm việc có thể tái sử dụng; dùng AI để hỗ trợ rà soát và tìm lỗi; theo dõi hiệu quả bằng các chỉ số như thời gian hoàn thành và tỷ lệ lỗi phát sinh.</t>
  </si>
  <si>
    <t>Dẫn dắt việc áp dụng AI trong kỹ thuật một cách có kiểm soát; đào tạo và hướng dẫn đội ngũ; tự động hóa các công việc lặp lại theo nguyên tắc an toàn, phân quyền và tuân thủ quy định nội bộ.</t>
  </si>
  <si>
    <t>Sử dụng AI Agent để hỗ trợ code, chỉnh sửa code, viết kiểm thử và tìm lỗi; biết đặt yêu cầu rõ ràng; luôn kiểm tra lại kết quả trước khi áp dụng.</t>
  </si>
  <si>
    <t>Tự xây dựng luồng trải nghiệm và đặc tả giao diện; đảm bảo tính nhất quán về hình ảnh; bàn giao thiết kế rõ ràng để đội triển khai chính xác.</t>
  </si>
  <si>
    <t>Cải thiện khả năng sử dụng dựa trên nghiên cứu và đánh giá trải nghiệm; phát triển và mở rộng hệ thống thiết kế; giảm phát sinh làm lại nhờ đặc tả thiết kế rõ ràng.</t>
  </si>
  <si>
    <t>Định hướng thiết kế tổng thể; tạo ra tác động trải nghiệm người dùng có thể đo lường; quản trị và chuẩn hóa hệ thống thiết kế; hướng dẫn và kết nối các đội cùng áp dụng.</t>
  </si>
  <si>
    <t>Bàn giao công việc ổn định; xác định rõ phạm vi; lặp lại thiết kế kịp thời; phối hợp sớm với các bên triển khai để thống nhất ràng buộc.</t>
  </si>
  <si>
    <t>Quản lý các lựa chọn và đánh đổi trong thiết kế; chuẩn bị phương án thay thế; ghi nhận rõ các quyết định; giảm phát sinh làm lại thông qua rà soát thiết kế.</t>
  </si>
  <si>
    <t>Nâng chuẩn bàn giao thiết kế (tiêu chí hoàn thành, danh sách rà soát); tháo gỡ các vướng mắc phối hợp giữa các đội; nâng cao khả năng dự báo và kiểm soát tiến độ.</t>
  </si>
  <si>
    <t>Làm việc với môi trường preview và staging; sử dụng nhất quán các thành phần và chuẩn thiết kế; xây dựng đặc tả phù hợp với khả năng triển khai.</t>
  </si>
  <si>
    <t>Thúc đẩy áp dụng chuẩn thành phần thiết kế; cải thiện tự động hóa bàn giao thiết kế–triển khai; giảm lỗi tích hợp và công việc làm lại.</t>
  </si>
  <si>
    <t>Dẫn dắt chuẩn hóa quy trình thiết kế–triển khai với đội phát triển; xây dựng hướng dẫn và các thực hành tốt cho toàn đội.</t>
  </si>
  <si>
    <t>Sử dụng AI để hỗ trợ xây dựng khung thiết kế, nội dung trải nghiệm và phương án thiết kế; biết đặt yêu cầu phù hợp; kiểm tra và đối chiếu với hệ thống thiết kế hiện có.</t>
  </si>
  <si>
    <t>Xây dựng thư viện yêu cầu AI có thể tái sử dụng; tăng tốc tổng hợp nghiên cứu; theo dõi tác động của AI đến thời gian thực hiện và mức độ làm lại.</t>
  </si>
  <si>
    <t>Dẫn dắt việc áp dụng AI trong thiết kế một cách an toàn và có kiểm soát; đào tạo đội ngũ; tự động hóa các công việc lặp lại theo quy định và chuẩn quản trị.</t>
  </si>
  <si>
    <t>Gợi ý: dùng nút +/- (Outline) để thu gọn/mở rộng theo từng Vai trò. Cấp độ 1 (Thực thi – phối hợp): Làm tốt phần việc kỹ thuật của mình | Cấp độ 2 (Chủ động – cải tiến): Giải quyết bài toán xuyên hệ thống | Cấp độ 3 (Chuẩn hoá – dẫn dắt): Định hướng, tạo chuẩn, mở rộng</t>
  </si>
  <si>
    <t>Tự triển khai tính năng giao diện từ đầu đến cuối (giao diện, trạng thái, tích hợp dữ liệu); xử lý các tình huống phát sinh; viết mã rõ ràng, dễ bảo trì.</t>
  </si>
  <si>
    <t>Cải thiện hiệu năng và khả năng truy cập của giao diện; xây dựng thành phần dùng lại; nâng cao kiến trúc và kiểm thử để tăng độ ổn định.</t>
  </si>
  <si>
    <t>Định hướng kỹ thuật frontend; dẫn dắt các thay đổi lớn để giảm rủi ro; hướng dẫn đội ngũ; chủ động ngăn ngừa lỗi ảnh hưởng diện rộng trên giao diện.</t>
  </si>
  <si>
    <t>Bàn giao công việc ổn định; chịu trách nhiệm xử lý lỗi đến khi hoàn tất; phối hợp sớm với backend và thiết kế; chủ động báo rủi ro.</t>
  </si>
  <si>
    <t>Quản lý các lựa chọn và đánh đổi về trải nghiệm người dùng; giảm phát sinh làm lại; nâng chất lượng bàn giao bằng đặc tả, minh chứng và tài liệu rõ ràng.</t>
  </si>
  <si>
    <t>Nâng chuẩn bàn giao và rà soát (chuẩn thành phần, danh sách rà soát); tháo gỡ vướng mắc phối hợp giữa các đội; nâng cao khả năng dự báo và kiểm soát tiến độ.</t>
  </si>
  <si>
    <t>Sử dụng thành thạo quy trình tích hợp và triển khai; quản lý cấu hình môi trường; theo dõi lỗi phía người dùng; giữ bản phát hành gọn và ổn định.</t>
  </si>
  <si>
    <t>Cải thiện quy trình triển khai (tối ưu tốc độ, kiểm soát chất lượng); giảm kích thước và thời gian tải; có phương án quay lui khi sự cố; nâng cao độ ổn định.</t>
  </si>
  <si>
    <t>Chuẩn hóa phát hành và giám sát cho frontend; xây dựng hướng dẫn xử lý sự cố; hướng dẫn đội ngũ thực hành vận hành; giảm lỗi phía người dùng và rút ngắn thời gian khắc phục.</t>
  </si>
  <si>
    <t>Sử dụng AI để hỗ trợ tạo khung code, chỉnh sửa code, viết kiểm thử và tìm lỗi; biết đặt yêu cầu rõ ràng; luôn kiểm tra lại trước khi áp dụng.</t>
  </si>
  <si>
    <t>Xây dựng mẫu yêu cầu AI có thể tái sử dụng (thành phần, khả năng truy cập, kiểm thử); dùng AI hỗ trợ rà soát và cải tiến mã; theo dõi hiệu quả bằng các chỉ số phù hợp.</t>
  </si>
  <si>
    <t>Dẫn dắt việc áp dụng AI trong frontend theo quy chuẩn; đào tạo đội ngũ; tự động hóa các công việc lặp lại một cách an toàn và có kiểm soát.</t>
  </si>
  <si>
    <t>Tự triển khai tính năng từ đầu đến cuối (giao diện, xử lý dữ liệu, lưu trữ); đảm bảo chất lượng cơ bản; viết kiểm thử cần thiết; xử lý các tình huống lỗi phát sinh.</t>
  </si>
  <si>
    <t>Phân định rõ trách nhiệm giữa backend và frontend; cải thiện hiệu năng và an toàn hệ thống; thực hiện tái cấu trúc có kiểm soát; xây dựng kiểm thử vững chắc hơn.</t>
  </si>
  <si>
    <t>Định hướng kỹ thuật end-to-end; chủ động ngăn ngừa rủi ro và lỗi hệ thống; hướng dẫn đội ngũ; dẫn dắt các đợt tái cấu trúc và chuyển đổi hệ thống lớn một cách an toàn.</t>
  </si>
  <si>
    <t>Chịu trách nhiệm toàn bộ tính năng từ đầu đến cuối; đảm bảo vận hành ổn định; chủ động báo rủi ro; xử lý triệt để vấn đề đến khi hoàn tất.</t>
  </si>
  <si>
    <t>Quản lý phạm vi và rủi ro công việc; trao đổi và thống nhất các đánh đổi kỹ thuật; giảm phát sinh làm lại; cải thiện chất lượng tài liệu và bàn giao.</t>
  </si>
  <si>
    <t>Nâng cao khả năng dự báo; xây dựng và áp dụng các chuẩn chung (tiêu chí hoàn thành, danh sách rà soát); tháo gỡ vướng mắc trong phối hợp giữa các đội.</t>
  </si>
  <si>
    <t>Sử dụng quy trình tích hợp và triển khai tự động; quản lý cấu hình và thông tin bảo mật; theo dõi lỗi và nhật ký hệ thống; triển khai an toàn và tham gia trực xử lý sự cố.</t>
  </si>
  <si>
    <t>Cải thiện quy trình triển khai; bổ sung theo dõi chỉ số và cảnh báo; có phương án quay lui khi cần; nâng cao độ ổn định trên toàn bộ hệ thống.</t>
  </si>
  <si>
    <t>Chuẩn hóa phát hành và giám sát hệ thống; xây dựng hướng dẫn vận hành và xử lý sự cố; giảm thời gian khắc phục lỗi; hướng dẫn đội ngũ thực hành vận hành hiệu quả.</t>
  </si>
  <si>
    <t>Sử dụng AI hỗ trợ toàn bộ chuỗi phát triển (tạo khung, chỉnh sửa code, kiểm thử, tìm lỗi); biết đặt yêu cầu phù hợp; luôn rà soát kỹ kết quả trước khi áp dụng.</t>
  </si>
  <si>
    <t>Xây dựng mẫu yêu cầu và quy trình làm việc với AI có thể tái sử dụng; dùng AI hỗ trợ rà soát và tìm lỗi; theo dõi tác động đến thời gian thực hiện và chất lượng.</t>
  </si>
  <si>
    <t>Dẫn dắt việc áp dụng AI trong phát triển end-to-end một cách an toàn và có kiểm soát; đào tạo đội ngũ; tự động hóa các công việc xuyên suốt theo chuẩn quản trị.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</si>
</sst>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163"/>
    </font>
    <font>
      <b/>
      <sz val="11"/>
      <name val="Calibri"/>
      <family val="2"/>
      <charset val="163"/>
    </font>
    <font>
      <b/>
      <sz val="11"/>
      <color rgb="FFFFFFFF"/>
      <name val="Calibri"/>
      <family val="2"/>
      <charset val="163"/>
    </font>
    <font>
      <b/>
      <sz val="16"/>
      <color rgb="FFFFFFFF"/>
      <name val="Calibri"/>
    </font>
    <font>
      <i/>
      <sz val="10"/>
      <color rgb="FF404040"/>
      <name val="Calibri"/>
    </font>
    <font>
      <b/>
      <sz val="12"/>
      <color rgb="FFFFFFFF"/>
      <name val="Calibri"/>
    </font>
    <font>
      <b/>
      <sz val="11"/>
      <color rgb="FF1F1F1F"/>
      <name val="Calibri"/>
    </font>
    <font>
      <sz val="11"/>
      <color rgb="FF1F1F1F"/>
      <name val="Calibri"/>
    </font>
    <font>
      <sz val="11"/>
      <color rgb="FF1F1F1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9EEF3"/>
      </patternFill>
    </fill>
    <fill>
      <patternFill patternType="solid">
        <fgColor rgb="FFF4F6F8"/>
      </patternFill>
    </fill>
    <fill>
      <patternFill patternType="solid">
        <fgColor rgb="FF111827"/>
      </patternFill>
    </fill>
    <fill>
      <patternFill patternType="solid">
        <fgColor rgb="FFFAFAFA"/>
      </patternFill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C9CDD2"/>
      </left>
      <right style="thin">
        <color rgb="FFC9CDD2"/>
      </right>
      <top style="thin">
        <color rgb="FFC9CDD2"/>
      </top>
      <bottom style="thin">
        <color rgb="FFC9CDD2"/>
      </bottom>
      <diagonal/>
    </border>
    <border>
      <left/>
      <right/>
      <top style="thin">
        <color rgb="FFC9CDD2"/>
      </top>
      <bottom style="thin">
        <color rgb="FFC9CDD2"/>
      </bottom>
      <diagonal/>
    </border>
    <border>
      <left/>
      <right style="thin">
        <color rgb="FFC9CDD2"/>
      </right>
      <top style="thin">
        <color rgb="FFC9CDD2"/>
      </top>
      <bottom style="thin">
        <color rgb="FFC9CDD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4" borderId="0" xfId="0" applyFont="1" applyFill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3"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FEDD5"/>
        </patternFill>
      </fill>
    </dxf>
    <dxf>
      <fill>
        <patternFill>
          <bgColor rgb="FFFEE2E2"/>
        </patternFill>
      </fill>
    </dxf>
    <dxf>
      <fill>
        <patternFill>
          <bgColor rgb="FFBBF7D0"/>
        </patternFill>
      </fill>
    </dxf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FEDD5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FEDD5"/>
        </patternFill>
      </fill>
    </dxf>
    <dxf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vels_Backend_1" displayName="Levels_Backend_1" ref="A5:D9">
  <autoFilter ref="A5:D9" xr:uid="{00000000-0009-0000-0100-000001000000}"/>
  <tableColumns count="4">
    <tableColumn id="1" xr3:uid="{00000000-0010-0000-0000-000001000000}" name="Nhóm năng lực"/>
    <tableColumn id="2" xr3:uid="{00000000-0010-0000-0000-000002000000}" name="Cấp độ 1"/>
    <tableColumn id="3" xr3:uid="{00000000-0010-0000-0000-000003000000}" name="Cấp độ 2"/>
    <tableColumn id="4" xr3:uid="{00000000-0010-0000-0000-000004000000}" name="Cấp độ 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vels_Designer_2" displayName="Levels_Designer_2" ref="A12:D16">
  <autoFilter ref="A12:D16" xr:uid="{00000000-0009-0000-0100-000002000000}"/>
  <tableColumns count="4">
    <tableColumn id="1" xr3:uid="{00000000-0010-0000-0100-000001000000}" name="Nhóm năng lực"/>
    <tableColumn id="2" xr3:uid="{00000000-0010-0000-0100-000002000000}" name="Cấp độ 1"/>
    <tableColumn id="3" xr3:uid="{00000000-0010-0000-0100-000003000000}" name="Cấp độ 2"/>
    <tableColumn id="4" xr3:uid="{00000000-0010-0000-0100-000004000000}" name="Cấp độ 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vels_FrontEnd_3" displayName="Levels_FrontEnd_3" ref="A19:D23">
  <autoFilter ref="A19:D23" xr:uid="{00000000-0009-0000-0100-000003000000}"/>
  <tableColumns count="4">
    <tableColumn id="1" xr3:uid="{00000000-0010-0000-0200-000001000000}" name="Nhóm năng lực"/>
    <tableColumn id="2" xr3:uid="{00000000-0010-0000-0200-000002000000}" name="Cấp độ 1"/>
    <tableColumn id="3" xr3:uid="{00000000-0010-0000-0200-000003000000}" name="Cấp độ 2"/>
    <tableColumn id="4" xr3:uid="{00000000-0010-0000-0200-000004000000}" name="Cấp độ 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vels_FullStack_4" displayName="Levels_FullStack_4" ref="A26:D30">
  <autoFilter ref="A26:D30" xr:uid="{00000000-0009-0000-0100-000004000000}"/>
  <tableColumns count="4">
    <tableColumn id="1" xr3:uid="{00000000-0010-0000-0300-000001000000}" name="Nhóm năng lực"/>
    <tableColumn id="2" xr3:uid="{00000000-0010-0000-0300-000002000000}" name="Cấp độ 1"/>
    <tableColumn id="3" xr3:uid="{00000000-0010-0000-0300-000003000000}" name="Cấp độ 2"/>
    <tableColumn id="4" xr3:uid="{00000000-0010-0000-0300-000004000000}" name="Cấp độ 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C16" sqref="C16"/>
    </sheetView>
  </sheetViews>
  <sheetFormatPr defaultRowHeight="14.4" x14ac:dyDescent="0.3"/>
  <cols>
    <col min="1" max="1" width="6" customWidth="1"/>
    <col min="2" max="2" width="24" customWidth="1"/>
    <col min="3" max="3" width="22" customWidth="1"/>
    <col min="4" max="4" width="14" customWidth="1"/>
    <col min="5" max="5" width="10" customWidth="1"/>
    <col min="6" max="6" width="14" customWidth="1"/>
    <col min="7" max="7" width="8" customWidth="1"/>
    <col min="8" max="8" width="28" customWidth="1"/>
  </cols>
  <sheetData>
    <row r="1" spans="1:8" ht="28.05" customHeight="1" x14ac:dyDescent="0.3">
      <c r="A1" s="15" t="s">
        <v>0</v>
      </c>
      <c r="B1" s="14"/>
      <c r="C1" s="14"/>
      <c r="D1" s="14"/>
      <c r="E1" s="14"/>
      <c r="F1" s="14"/>
      <c r="G1" s="14"/>
      <c r="H1" s="14"/>
    </row>
    <row r="3" spans="1:8" x14ac:dyDescent="0.3">
      <c r="A3" s="13" t="s">
        <v>1</v>
      </c>
      <c r="B3" s="14"/>
      <c r="C3" s="14"/>
      <c r="D3" s="14"/>
      <c r="E3" s="14"/>
      <c r="F3" s="14"/>
      <c r="G3" s="14"/>
      <c r="H3" s="14"/>
    </row>
    <row r="5" spans="1:8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</row>
    <row r="6" spans="1:8" x14ac:dyDescent="0.3">
      <c r="A6" s="3">
        <v>1</v>
      </c>
      <c r="B6" s="4" t="s">
        <v>10</v>
      </c>
      <c r="C6" s="4" t="s">
        <v>11</v>
      </c>
      <c r="D6" s="3"/>
      <c r="E6" s="3"/>
      <c r="F6" s="3" t="str">
        <f t="shared" ref="F6:F35" si="0">IF(E6="","",IF(E6&lt;2.5,"Chưa đạt",IF(E6&lt;=3.2,"Đạt",IF(E6&lt;=4,"Tốt","Rất tốt"))))</f>
        <v/>
      </c>
      <c r="G6" s="3" t="str">
        <f>IF(E6="","",_xludf.RANK.EQ(E6,$E$6:$E$35,0))</f>
        <v/>
      </c>
      <c r="H6" s="4"/>
    </row>
    <row r="7" spans="1:8" x14ac:dyDescent="0.3">
      <c r="A7" s="3">
        <v>2</v>
      </c>
      <c r="B7" s="4" t="s">
        <v>12</v>
      </c>
      <c r="C7" s="4" t="s">
        <v>13</v>
      </c>
      <c r="D7" s="3"/>
      <c r="E7" s="3"/>
      <c r="F7" s="3" t="str">
        <f t="shared" si="0"/>
        <v/>
      </c>
      <c r="G7" s="3" t="str">
        <f>IF(E7="","",_xludf.RANK.EQ(E7,$E$6:$E$35,0))</f>
        <v/>
      </c>
      <c r="H7" s="4"/>
    </row>
    <row r="8" spans="1:8" x14ac:dyDescent="0.3">
      <c r="A8" s="3">
        <v>3</v>
      </c>
      <c r="B8" s="4" t="s">
        <v>14</v>
      </c>
      <c r="C8" s="4" t="s">
        <v>13</v>
      </c>
      <c r="D8" s="3"/>
      <c r="E8" s="3"/>
      <c r="F8" s="3" t="str">
        <f t="shared" si="0"/>
        <v/>
      </c>
      <c r="G8" s="3" t="str">
        <f>IF(E8="","",_xludf.RANK.EQ(E8,$E$6:$E$35,0))</f>
        <v/>
      </c>
      <c r="H8" s="4"/>
    </row>
    <row r="9" spans="1:8" x14ac:dyDescent="0.3">
      <c r="A9" s="3">
        <v>4</v>
      </c>
      <c r="B9" s="4" t="s">
        <v>15</v>
      </c>
      <c r="C9" s="4" t="s">
        <v>13</v>
      </c>
      <c r="D9" s="3"/>
      <c r="E9" s="3"/>
      <c r="F9" s="3" t="str">
        <f t="shared" si="0"/>
        <v/>
      </c>
      <c r="G9" s="3" t="str">
        <f>IF(E9="","",_xludf.RANK.EQ(E9,$E$6:$E$35,0))</f>
        <v/>
      </c>
      <c r="H9" s="4"/>
    </row>
    <row r="10" spans="1:8" x14ac:dyDescent="0.3">
      <c r="A10" s="3">
        <v>5</v>
      </c>
      <c r="B10" s="4"/>
      <c r="C10" s="4"/>
      <c r="D10" s="3"/>
      <c r="E10" s="3"/>
      <c r="F10" s="3" t="str">
        <f t="shared" si="0"/>
        <v/>
      </c>
      <c r="G10" s="3" t="str">
        <f>IF(E10="","",_xludf.RANK.EQ(E10,$E$6:$E$35,0))</f>
        <v/>
      </c>
      <c r="H10" s="4"/>
    </row>
    <row r="11" spans="1:8" x14ac:dyDescent="0.3">
      <c r="A11" s="3">
        <v>6</v>
      </c>
      <c r="B11" s="4"/>
      <c r="C11" s="4"/>
      <c r="D11" s="3"/>
      <c r="E11" s="3"/>
      <c r="F11" s="3" t="str">
        <f t="shared" si="0"/>
        <v/>
      </c>
      <c r="G11" s="3" t="str">
        <f>IF(E11="","",_xludf.RANK.EQ(E11,$E$6:$E$35,0))</f>
        <v/>
      </c>
      <c r="H11" s="4"/>
    </row>
    <row r="12" spans="1:8" x14ac:dyDescent="0.3">
      <c r="A12" s="3">
        <v>7</v>
      </c>
      <c r="B12" s="4"/>
      <c r="C12" s="4"/>
      <c r="D12" s="3"/>
      <c r="E12" s="3"/>
      <c r="F12" s="3" t="str">
        <f t="shared" si="0"/>
        <v/>
      </c>
      <c r="G12" s="3" t="str">
        <f>IF(E12="","",_xludf.RANK.EQ(E12,$E$6:$E$35,0))</f>
        <v/>
      </c>
      <c r="H12" s="4"/>
    </row>
    <row r="13" spans="1:8" x14ac:dyDescent="0.3">
      <c r="A13" s="3">
        <v>8</v>
      </c>
      <c r="B13" s="4"/>
      <c r="C13" s="4"/>
      <c r="D13" s="3"/>
      <c r="E13" s="3"/>
      <c r="F13" s="3" t="str">
        <f t="shared" si="0"/>
        <v/>
      </c>
      <c r="G13" s="3" t="str">
        <f>IF(E13="","",_xludf.RANK.EQ(E13,$E$6:$E$35,0))</f>
        <v/>
      </c>
      <c r="H13" s="4"/>
    </row>
    <row r="14" spans="1:8" x14ac:dyDescent="0.3">
      <c r="A14" s="3">
        <v>9</v>
      </c>
      <c r="B14" s="4"/>
      <c r="C14" s="4"/>
      <c r="D14" s="3"/>
      <c r="E14" s="3"/>
      <c r="F14" s="3" t="str">
        <f t="shared" si="0"/>
        <v/>
      </c>
      <c r="G14" s="3" t="str">
        <f>IF(E14="","",_xludf.RANK.EQ(E14,$E$6:$E$35,0))</f>
        <v/>
      </c>
      <c r="H14" s="4"/>
    </row>
    <row r="15" spans="1:8" x14ac:dyDescent="0.3">
      <c r="A15" s="3">
        <v>10</v>
      </c>
      <c r="B15" s="4"/>
      <c r="C15" s="4"/>
      <c r="D15" s="3"/>
      <c r="E15" s="3"/>
      <c r="F15" s="3" t="str">
        <f t="shared" si="0"/>
        <v/>
      </c>
      <c r="G15" s="3" t="str">
        <f>IF(E15="","",_xludf.RANK.EQ(E15,$E$6:$E$35,0))</f>
        <v/>
      </c>
      <c r="H15" s="4"/>
    </row>
    <row r="16" spans="1:8" x14ac:dyDescent="0.3">
      <c r="A16" s="3">
        <v>11</v>
      </c>
      <c r="B16" s="4"/>
      <c r="C16" s="4"/>
      <c r="D16" s="3"/>
      <c r="E16" s="3"/>
      <c r="F16" s="3" t="str">
        <f t="shared" si="0"/>
        <v/>
      </c>
      <c r="G16" s="3" t="str">
        <f>IF(E16="","",_xludf.RANK.EQ(E16,$E$6:$E$35,0))</f>
        <v/>
      </c>
      <c r="H16" s="4"/>
    </row>
    <row r="17" spans="1:8" x14ac:dyDescent="0.3">
      <c r="A17" s="3">
        <v>12</v>
      </c>
      <c r="B17" s="4"/>
      <c r="C17" s="4"/>
      <c r="D17" s="3"/>
      <c r="E17" s="3"/>
      <c r="F17" s="3" t="str">
        <f t="shared" si="0"/>
        <v/>
      </c>
      <c r="G17" s="3" t="str">
        <f>IF(E17="","",_xludf.RANK.EQ(E17,$E$6:$E$35,0))</f>
        <v/>
      </c>
      <c r="H17" s="4"/>
    </row>
    <row r="18" spans="1:8" x14ac:dyDescent="0.3">
      <c r="A18" s="3">
        <v>13</v>
      </c>
      <c r="B18" s="4"/>
      <c r="C18" s="4"/>
      <c r="D18" s="3"/>
      <c r="E18" s="3"/>
      <c r="F18" s="3" t="str">
        <f t="shared" si="0"/>
        <v/>
      </c>
      <c r="G18" s="3" t="str">
        <f>IF(E18="","",_xludf.RANK.EQ(E18,$E$6:$E$35,0))</f>
        <v/>
      </c>
      <c r="H18" s="4"/>
    </row>
    <row r="19" spans="1:8" x14ac:dyDescent="0.3">
      <c r="A19" s="3">
        <v>14</v>
      </c>
      <c r="B19" s="4"/>
      <c r="C19" s="4"/>
      <c r="D19" s="3"/>
      <c r="E19" s="3"/>
      <c r="F19" s="3" t="str">
        <f t="shared" si="0"/>
        <v/>
      </c>
      <c r="G19" s="3" t="str">
        <f>IF(E19="","",_xludf.RANK.EQ(E19,$E$6:$E$35,0))</f>
        <v/>
      </c>
      <c r="H19" s="4"/>
    </row>
    <row r="20" spans="1:8" x14ac:dyDescent="0.3">
      <c r="A20" s="3">
        <v>15</v>
      </c>
      <c r="B20" s="4"/>
      <c r="C20" s="4"/>
      <c r="D20" s="3"/>
      <c r="E20" s="3"/>
      <c r="F20" s="3" t="str">
        <f t="shared" si="0"/>
        <v/>
      </c>
      <c r="G20" s="3" t="str">
        <f>IF(E20="","",_xludf.RANK.EQ(E20,$E$6:$E$35,0))</f>
        <v/>
      </c>
      <c r="H20" s="4"/>
    </row>
    <row r="21" spans="1:8" x14ac:dyDescent="0.3">
      <c r="A21" s="3">
        <v>16</v>
      </c>
      <c r="B21" s="4"/>
      <c r="C21" s="4"/>
      <c r="D21" s="3"/>
      <c r="E21" s="3"/>
      <c r="F21" s="3" t="str">
        <f t="shared" si="0"/>
        <v/>
      </c>
      <c r="G21" s="3" t="str">
        <f>IF(E21="","",_xludf.RANK.EQ(E21,$E$6:$E$35,0))</f>
        <v/>
      </c>
      <c r="H21" s="4"/>
    </row>
    <row r="22" spans="1:8" x14ac:dyDescent="0.3">
      <c r="A22" s="3">
        <v>17</v>
      </c>
      <c r="B22" s="4"/>
      <c r="C22" s="4"/>
      <c r="D22" s="3"/>
      <c r="E22" s="3"/>
      <c r="F22" s="3" t="str">
        <f t="shared" si="0"/>
        <v/>
      </c>
      <c r="G22" s="3" t="str">
        <f>IF(E22="","",_xludf.RANK.EQ(E22,$E$6:$E$35,0))</f>
        <v/>
      </c>
      <c r="H22" s="4"/>
    </row>
    <row r="23" spans="1:8" x14ac:dyDescent="0.3">
      <c r="A23" s="3">
        <v>18</v>
      </c>
      <c r="B23" s="4"/>
      <c r="C23" s="4"/>
      <c r="D23" s="3"/>
      <c r="E23" s="3"/>
      <c r="F23" s="3" t="str">
        <f t="shared" si="0"/>
        <v/>
      </c>
      <c r="G23" s="3" t="str">
        <f>IF(E23="","",_xludf.RANK.EQ(E23,$E$6:$E$35,0))</f>
        <v/>
      </c>
      <c r="H23" s="4"/>
    </row>
    <row r="24" spans="1:8" x14ac:dyDescent="0.3">
      <c r="A24" s="3">
        <v>19</v>
      </c>
      <c r="B24" s="4"/>
      <c r="C24" s="4"/>
      <c r="D24" s="3"/>
      <c r="E24" s="3"/>
      <c r="F24" s="3" t="str">
        <f t="shared" si="0"/>
        <v/>
      </c>
      <c r="G24" s="3" t="str">
        <f>IF(E24="","",_xludf.RANK.EQ(E24,$E$6:$E$35,0))</f>
        <v/>
      </c>
      <c r="H24" s="4"/>
    </row>
    <row r="25" spans="1:8" x14ac:dyDescent="0.3">
      <c r="A25" s="3">
        <v>20</v>
      </c>
      <c r="B25" s="4"/>
      <c r="C25" s="4"/>
      <c r="D25" s="3"/>
      <c r="E25" s="3"/>
      <c r="F25" s="3" t="str">
        <f t="shared" si="0"/>
        <v/>
      </c>
      <c r="G25" s="3" t="str">
        <f>IF(E25="","",_xludf.RANK.EQ(E25,$E$6:$E$35,0))</f>
        <v/>
      </c>
      <c r="H25" s="4"/>
    </row>
    <row r="26" spans="1:8" x14ac:dyDescent="0.3">
      <c r="A26" s="3">
        <v>21</v>
      </c>
      <c r="B26" s="4"/>
      <c r="C26" s="4"/>
      <c r="D26" s="3"/>
      <c r="E26" s="3"/>
      <c r="F26" s="3" t="str">
        <f t="shared" si="0"/>
        <v/>
      </c>
      <c r="G26" s="3" t="str">
        <f>IF(E26="","",_xludf.RANK.EQ(E26,$E$6:$E$35,0))</f>
        <v/>
      </c>
      <c r="H26" s="4"/>
    </row>
    <row r="27" spans="1:8" x14ac:dyDescent="0.3">
      <c r="A27" s="3">
        <v>22</v>
      </c>
      <c r="B27" s="4"/>
      <c r="C27" s="4"/>
      <c r="D27" s="3"/>
      <c r="E27" s="3"/>
      <c r="F27" s="3" t="str">
        <f t="shared" si="0"/>
        <v/>
      </c>
      <c r="G27" s="3" t="str">
        <f>IF(E27="","",_xludf.RANK.EQ(E27,$E$6:$E$35,0))</f>
        <v/>
      </c>
      <c r="H27" s="4"/>
    </row>
    <row r="28" spans="1:8" x14ac:dyDescent="0.3">
      <c r="A28" s="3">
        <v>23</v>
      </c>
      <c r="B28" s="4"/>
      <c r="C28" s="4"/>
      <c r="D28" s="3"/>
      <c r="E28" s="3"/>
      <c r="F28" s="3" t="str">
        <f t="shared" si="0"/>
        <v/>
      </c>
      <c r="G28" s="3" t="str">
        <f>IF(E28="","",_xludf.RANK.EQ(E28,$E$6:$E$35,0))</f>
        <v/>
      </c>
      <c r="H28" s="4"/>
    </row>
    <row r="29" spans="1:8" x14ac:dyDescent="0.3">
      <c r="A29" s="3">
        <v>24</v>
      </c>
      <c r="B29" s="4"/>
      <c r="C29" s="4"/>
      <c r="D29" s="3"/>
      <c r="E29" s="3"/>
      <c r="F29" s="3" t="str">
        <f t="shared" si="0"/>
        <v/>
      </c>
      <c r="G29" s="3" t="str">
        <f>IF(E29="","",_xludf.RANK.EQ(E29,$E$6:$E$35,0))</f>
        <v/>
      </c>
      <c r="H29" s="4"/>
    </row>
    <row r="30" spans="1:8" x14ac:dyDescent="0.3">
      <c r="A30" s="3">
        <v>25</v>
      </c>
      <c r="B30" s="4"/>
      <c r="C30" s="4"/>
      <c r="D30" s="3"/>
      <c r="E30" s="3"/>
      <c r="F30" s="3" t="str">
        <f t="shared" si="0"/>
        <v/>
      </c>
      <c r="G30" s="3" t="str">
        <f>IF(E30="","",_xludf.RANK.EQ(E30,$E$6:$E$35,0))</f>
        <v/>
      </c>
      <c r="H30" s="4"/>
    </row>
    <row r="31" spans="1:8" x14ac:dyDescent="0.3">
      <c r="A31" s="3">
        <v>26</v>
      </c>
      <c r="B31" s="4"/>
      <c r="C31" s="4"/>
      <c r="D31" s="3"/>
      <c r="E31" s="3"/>
      <c r="F31" s="3" t="str">
        <f t="shared" si="0"/>
        <v/>
      </c>
      <c r="G31" s="3" t="str">
        <f>IF(E31="","",_xludf.RANK.EQ(E31,$E$6:$E$35,0))</f>
        <v/>
      </c>
      <c r="H31" s="4"/>
    </row>
    <row r="32" spans="1:8" x14ac:dyDescent="0.3">
      <c r="A32" s="3">
        <v>27</v>
      </c>
      <c r="B32" s="4"/>
      <c r="C32" s="4"/>
      <c r="D32" s="3"/>
      <c r="E32" s="3"/>
      <c r="F32" s="3" t="str">
        <f t="shared" si="0"/>
        <v/>
      </c>
      <c r="G32" s="3" t="str">
        <f>IF(E32="","",_xludf.RANK.EQ(E32,$E$6:$E$35,0))</f>
        <v/>
      </c>
      <c r="H32" s="4"/>
    </row>
    <row r="33" spans="1:8" x14ac:dyDescent="0.3">
      <c r="A33" s="3">
        <v>28</v>
      </c>
      <c r="B33" s="4"/>
      <c r="C33" s="4"/>
      <c r="D33" s="3"/>
      <c r="E33" s="3"/>
      <c r="F33" s="3" t="str">
        <f t="shared" si="0"/>
        <v/>
      </c>
      <c r="G33" s="3" t="str">
        <f>IF(E33="","",_xludf.RANK.EQ(E33,$E$6:$E$35,0))</f>
        <v/>
      </c>
      <c r="H33" s="4"/>
    </row>
    <row r="34" spans="1:8" x14ac:dyDescent="0.3">
      <c r="A34" s="3">
        <v>29</v>
      </c>
      <c r="B34" s="4"/>
      <c r="C34" s="4"/>
      <c r="D34" s="3"/>
      <c r="E34" s="3"/>
      <c r="F34" s="3" t="str">
        <f t="shared" si="0"/>
        <v/>
      </c>
      <c r="G34" s="3" t="str">
        <f>IF(E34="","",_xludf.RANK.EQ(E34,$E$6:$E$35,0))</f>
        <v/>
      </c>
      <c r="H34" s="4"/>
    </row>
    <row r="35" spans="1:8" x14ac:dyDescent="0.3">
      <c r="A35" s="3">
        <v>30</v>
      </c>
      <c r="B35" s="4"/>
      <c r="C35" s="4"/>
      <c r="D35" s="3"/>
      <c r="E35" s="3"/>
      <c r="F35" s="3" t="str">
        <f t="shared" si="0"/>
        <v/>
      </c>
      <c r="G35" s="3" t="str">
        <f>IF(E35="","",_xludf.RANK.EQ(E35,$E$6:$E$35,0))</f>
        <v/>
      </c>
      <c r="H35" s="4"/>
    </row>
  </sheetData>
  <mergeCells count="2">
    <mergeCell ref="A3:H3"/>
    <mergeCell ref="A1:H1"/>
  </mergeCells>
  <conditionalFormatting sqref="E6:E35">
    <cfRule type="cellIs" dxfId="12" priority="1" operator="lessThan">
      <formula>2.5</formula>
    </cfRule>
    <cfRule type="cellIs" dxfId="11" priority="2" operator="between">
      <formula>2.5</formula>
      <formula>3.2</formula>
    </cfRule>
    <cfRule type="cellIs" dxfId="10" priority="3" operator="between">
      <formula>3.3</formula>
      <formula>4</formula>
    </cfRule>
    <cfRule type="cellIs" dxfId="9" priority="4" operator="greaterThan"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activeCell="C8" sqref="C8"/>
    </sheetView>
  </sheetViews>
  <sheetFormatPr defaultRowHeight="14.4" x14ac:dyDescent="0.3"/>
  <cols>
    <col min="1" max="1" width="34" customWidth="1"/>
    <col min="2" max="2" width="14" customWidth="1"/>
    <col min="3" max="3" width="12" customWidth="1"/>
    <col min="4" max="4" width="16" customWidth="1"/>
    <col min="5" max="5" width="44" customWidth="1"/>
  </cols>
  <sheetData>
    <row r="1" spans="1:5" ht="28.05" customHeight="1" x14ac:dyDescent="0.3">
      <c r="A1" s="15" t="s">
        <v>16</v>
      </c>
      <c r="B1" s="14"/>
      <c r="C1" s="14"/>
      <c r="D1" s="14"/>
      <c r="E1" s="14"/>
    </row>
    <row r="3" spans="1:5" ht="19.95" customHeight="1" x14ac:dyDescent="0.3">
      <c r="A3" s="5" t="s">
        <v>3</v>
      </c>
      <c r="B3" s="13"/>
      <c r="C3" s="14"/>
      <c r="D3" s="5" t="s">
        <v>5</v>
      </c>
      <c r="E3" s="13"/>
    </row>
    <row r="4" spans="1:5" ht="19.95" customHeight="1" x14ac:dyDescent="0.3">
      <c r="A4" s="5" t="s">
        <v>17</v>
      </c>
      <c r="B4" s="13"/>
      <c r="C4" s="14"/>
      <c r="D4" s="5" t="s">
        <v>18</v>
      </c>
      <c r="E4" s="1"/>
    </row>
    <row r="6" spans="1:5" x14ac:dyDescent="0.3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x14ac:dyDescent="0.3">
      <c r="A7" s="4" t="s">
        <v>24</v>
      </c>
      <c r="B7" s="3">
        <v>35</v>
      </c>
      <c r="C7" s="3"/>
      <c r="D7" s="3" t="str">
        <f>IF(C7="","",B7*C7/100)</f>
        <v/>
      </c>
      <c r="E7" s="4"/>
    </row>
    <row r="8" spans="1:5" x14ac:dyDescent="0.3">
      <c r="A8" s="4" t="s">
        <v>25</v>
      </c>
      <c r="B8" s="3">
        <v>25</v>
      </c>
      <c r="C8" s="3"/>
      <c r="D8" s="3" t="str">
        <f>IF(C8="","",B8*C8/100)</f>
        <v/>
      </c>
      <c r="E8" s="4"/>
    </row>
    <row r="9" spans="1:5" x14ac:dyDescent="0.3">
      <c r="A9" s="4" t="s">
        <v>26</v>
      </c>
      <c r="B9" s="3">
        <v>20</v>
      </c>
      <c r="C9" s="3"/>
      <c r="D9" s="3" t="str">
        <f>IF(C9="","",B9*C9/100)</f>
        <v/>
      </c>
      <c r="E9" s="4"/>
    </row>
    <row r="10" spans="1:5" x14ac:dyDescent="0.3">
      <c r="A10" s="4" t="s">
        <v>27</v>
      </c>
      <c r="B10" s="3">
        <v>20</v>
      </c>
      <c r="C10" s="3"/>
      <c r="D10" s="3" t="str">
        <f>IF(C10="","",B10*C10/100)</f>
        <v/>
      </c>
      <c r="E10" s="4"/>
    </row>
    <row r="11" spans="1:5" x14ac:dyDescent="0.3">
      <c r="A11" s="6" t="s">
        <v>28</v>
      </c>
      <c r="B11" s="6">
        <v>100</v>
      </c>
      <c r="C11" s="6"/>
      <c r="D11" s="6">
        <f>SUM(D7:D10)</f>
        <v>0</v>
      </c>
      <c r="E11" s="7"/>
    </row>
    <row r="13" spans="1:5" ht="19.95" customHeight="1" x14ac:dyDescent="0.3">
      <c r="A13" s="19" t="s">
        <v>29</v>
      </c>
      <c r="B13" s="14"/>
      <c r="C13" s="14"/>
      <c r="D13" s="14"/>
      <c r="E13" s="14"/>
    </row>
    <row r="14" spans="1:5" x14ac:dyDescent="0.3">
      <c r="A14" s="2" t="s">
        <v>30</v>
      </c>
      <c r="B14" s="21" t="s">
        <v>31</v>
      </c>
      <c r="C14" s="17"/>
      <c r="D14" s="17"/>
      <c r="E14" s="18"/>
    </row>
    <row r="15" spans="1:5" ht="34.049999999999997" customHeight="1" x14ac:dyDescent="0.3">
      <c r="A15" s="8">
        <v>1</v>
      </c>
      <c r="B15" s="20" t="s">
        <v>32</v>
      </c>
      <c r="C15" s="17"/>
      <c r="D15" s="17"/>
      <c r="E15" s="18"/>
    </row>
    <row r="16" spans="1:5" ht="34.049999999999997" customHeight="1" x14ac:dyDescent="0.3">
      <c r="A16" s="8">
        <v>2</v>
      </c>
      <c r="B16" s="20" t="s">
        <v>33</v>
      </c>
      <c r="C16" s="17"/>
      <c r="D16" s="17"/>
      <c r="E16" s="18"/>
    </row>
    <row r="17" spans="1:5" ht="34.049999999999997" customHeight="1" x14ac:dyDescent="0.3">
      <c r="A17" s="8">
        <v>3</v>
      </c>
      <c r="B17" s="20" t="s">
        <v>34</v>
      </c>
      <c r="C17" s="17"/>
      <c r="D17" s="17"/>
      <c r="E17" s="18"/>
    </row>
    <row r="18" spans="1:5" ht="34.049999999999997" customHeight="1" x14ac:dyDescent="0.3">
      <c r="A18" s="8">
        <v>4</v>
      </c>
      <c r="B18" s="20" t="s">
        <v>35</v>
      </c>
      <c r="C18" s="17"/>
      <c r="D18" s="17"/>
      <c r="E18" s="18"/>
    </row>
    <row r="19" spans="1:5" ht="34.049999999999997" customHeight="1" x14ac:dyDescent="0.3">
      <c r="A19" s="8">
        <v>5</v>
      </c>
      <c r="B19" s="20" t="s">
        <v>36</v>
      </c>
      <c r="C19" s="17"/>
      <c r="D19" s="17"/>
      <c r="E19" s="18"/>
    </row>
    <row r="21" spans="1:5" ht="19.95" customHeight="1" x14ac:dyDescent="0.3">
      <c r="A21" s="19" t="s">
        <v>37</v>
      </c>
      <c r="B21" s="14"/>
      <c r="C21" s="14"/>
      <c r="D21" s="14"/>
      <c r="E21" s="14"/>
    </row>
    <row r="22" spans="1:5" x14ac:dyDescent="0.3">
      <c r="A22" s="2" t="s">
        <v>38</v>
      </c>
      <c r="B22" s="2" t="s">
        <v>7</v>
      </c>
      <c r="C22" s="21" t="s">
        <v>39</v>
      </c>
      <c r="D22" s="17"/>
      <c r="E22" s="18"/>
    </row>
    <row r="23" spans="1:5" ht="25.95" customHeight="1" x14ac:dyDescent="0.3">
      <c r="A23" s="3" t="s">
        <v>40</v>
      </c>
      <c r="B23" s="3" t="s">
        <v>41</v>
      </c>
      <c r="C23" s="16" t="s">
        <v>42</v>
      </c>
      <c r="D23" s="17"/>
      <c r="E23" s="18"/>
    </row>
    <row r="24" spans="1:5" ht="25.95" customHeight="1" x14ac:dyDescent="0.3">
      <c r="A24" s="3" t="s">
        <v>43</v>
      </c>
      <c r="B24" s="3" t="s">
        <v>44</v>
      </c>
      <c r="C24" s="16" t="s">
        <v>45</v>
      </c>
      <c r="D24" s="17"/>
      <c r="E24" s="18"/>
    </row>
    <row r="25" spans="1:5" ht="25.95" customHeight="1" x14ac:dyDescent="0.3">
      <c r="A25" s="3" t="s">
        <v>46</v>
      </c>
      <c r="B25" s="3" t="s">
        <v>47</v>
      </c>
      <c r="C25" s="16" t="s">
        <v>48</v>
      </c>
      <c r="D25" s="17"/>
      <c r="E25" s="18"/>
    </row>
    <row r="26" spans="1:5" ht="25.95" customHeight="1" x14ac:dyDescent="0.3">
      <c r="A26" s="3" t="s">
        <v>49</v>
      </c>
      <c r="B26" s="3" t="s">
        <v>50</v>
      </c>
      <c r="C26" s="16" t="s">
        <v>51</v>
      </c>
      <c r="D26" s="17"/>
      <c r="E26" s="18"/>
    </row>
  </sheetData>
  <mergeCells count="17">
    <mergeCell ref="A1:E1"/>
    <mergeCell ref="A21:E21"/>
    <mergeCell ref="B17:E17"/>
    <mergeCell ref="B18:E18"/>
    <mergeCell ref="B3:C3"/>
    <mergeCell ref="E3"/>
    <mergeCell ref="C26:E26"/>
    <mergeCell ref="A13:E13"/>
    <mergeCell ref="B19:E19"/>
    <mergeCell ref="B4:C4"/>
    <mergeCell ref="C25:E25"/>
    <mergeCell ref="B14:E14"/>
    <mergeCell ref="C24:E24"/>
    <mergeCell ref="C23:E23"/>
    <mergeCell ref="C22:E22"/>
    <mergeCell ref="B16:E16"/>
    <mergeCell ref="B15:E15"/>
  </mergeCells>
  <conditionalFormatting sqref="C7:C10">
    <cfRule type="cellIs" dxfId="8" priority="1" operator="equal">
      <formula>1</formula>
    </cfRule>
    <cfRule type="cellIs" dxfId="7" priority="2" operator="equal">
      <formula>2</formula>
    </cfRule>
    <cfRule type="cellIs" dxfId="6" priority="3" operator="equal">
      <formula>3</formula>
    </cfRule>
    <cfRule type="cellIs" dxfId="5" priority="4" operator="equal">
      <formula>4</formula>
    </cfRule>
    <cfRule type="cellIs" dxfId="4" priority="5" operator="equal">
      <formula>5</formula>
    </cfRule>
  </conditionalFormatting>
  <conditionalFormatting sqref="D11">
    <cfRule type="cellIs" dxfId="3" priority="6" operator="lessThan">
      <formula>2.5</formula>
    </cfRule>
    <cfRule type="cellIs" dxfId="2" priority="7" operator="between">
      <formula>2.5</formula>
      <formula>3.2</formula>
    </cfRule>
    <cfRule type="cellIs" dxfId="1" priority="8" operator="between">
      <formula>3.3</formula>
      <formula>4</formula>
    </cfRule>
    <cfRule type="cellIs" dxfId="0" priority="9" operator="greaterThan">
      <formula>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 summaryBelow="0"/>
  </sheetPr>
  <dimension ref="A1:D30"/>
  <sheetViews>
    <sheetView tabSelected="1" workbookViewId="0">
      <pane ySplit="3" topLeftCell="A8" activePane="bottomLeft" state="frozen"/>
      <selection pane="bottomLeft" activeCell="L10" sqref="L10"/>
    </sheetView>
  </sheetViews>
  <sheetFormatPr defaultRowHeight="14.4" outlineLevelRow="1" x14ac:dyDescent="0.3"/>
  <cols>
    <col min="1" max="1" width="22" customWidth="1"/>
    <col min="2" max="4" width="50" customWidth="1"/>
  </cols>
  <sheetData>
    <row r="1" spans="1:4" ht="30" customHeight="1" x14ac:dyDescent="0.3">
      <c r="A1" s="22" t="s">
        <v>63</v>
      </c>
      <c r="B1" s="14"/>
      <c r="C1" s="14"/>
      <c r="D1" s="14"/>
    </row>
    <row r="2" spans="1:4" ht="36.6" customHeight="1" x14ac:dyDescent="0.3">
      <c r="A2" s="24" t="s">
        <v>86</v>
      </c>
      <c r="B2" s="25"/>
      <c r="C2" s="25"/>
      <c r="D2" s="25"/>
    </row>
    <row r="4" spans="1:4" ht="22.05" customHeight="1" x14ac:dyDescent="0.3">
      <c r="A4" s="23" t="s">
        <v>52</v>
      </c>
      <c r="B4" s="14"/>
      <c r="C4" s="14"/>
      <c r="D4" s="14"/>
    </row>
    <row r="5" spans="1:4" ht="19.95" customHeight="1" outlineLevel="1" x14ac:dyDescent="0.3">
      <c r="A5" s="9" t="s">
        <v>19</v>
      </c>
      <c r="B5" s="9" t="s">
        <v>53</v>
      </c>
      <c r="C5" s="9" t="s">
        <v>54</v>
      </c>
      <c r="D5" s="9" t="s">
        <v>55</v>
      </c>
    </row>
    <row r="6" spans="1:4" ht="79.95" customHeight="1" outlineLevel="1" x14ac:dyDescent="0.3">
      <c r="A6" s="10" t="s">
        <v>24</v>
      </c>
      <c r="B6" s="11" t="s">
        <v>56</v>
      </c>
      <c r="C6" s="11" t="s">
        <v>57</v>
      </c>
      <c r="D6" s="12" t="s">
        <v>64</v>
      </c>
    </row>
    <row r="7" spans="1:4" ht="79.95" customHeight="1" outlineLevel="1" x14ac:dyDescent="0.3">
      <c r="A7" s="10" t="s">
        <v>25</v>
      </c>
      <c r="B7" s="12" t="s">
        <v>65</v>
      </c>
      <c r="C7" s="12" t="s">
        <v>66</v>
      </c>
      <c r="D7" s="12" t="s">
        <v>67</v>
      </c>
    </row>
    <row r="8" spans="1:4" ht="79.95" customHeight="1" outlineLevel="1" x14ac:dyDescent="0.3">
      <c r="A8" s="10" t="s">
        <v>58</v>
      </c>
      <c r="B8" s="12" t="s">
        <v>68</v>
      </c>
      <c r="C8" s="12" t="s">
        <v>69</v>
      </c>
      <c r="D8" s="12" t="s">
        <v>70</v>
      </c>
    </row>
    <row r="9" spans="1:4" ht="79.95" customHeight="1" outlineLevel="1" collapsed="1" x14ac:dyDescent="0.3">
      <c r="A9" s="10" t="s">
        <v>59</v>
      </c>
      <c r="B9" s="12" t="s">
        <v>73</v>
      </c>
      <c r="C9" s="12" t="s">
        <v>71</v>
      </c>
      <c r="D9" s="12" t="s">
        <v>72</v>
      </c>
    </row>
    <row r="11" spans="1:4" ht="22.05" customHeight="1" x14ac:dyDescent="0.3">
      <c r="A11" s="23" t="s">
        <v>60</v>
      </c>
      <c r="B11" s="14"/>
      <c r="C11" s="14"/>
      <c r="D11" s="14"/>
    </row>
    <row r="12" spans="1:4" ht="19.95" customHeight="1" outlineLevel="1" x14ac:dyDescent="0.3">
      <c r="A12" s="9" t="s">
        <v>19</v>
      </c>
      <c r="B12" s="9" t="s">
        <v>53</v>
      </c>
      <c r="C12" s="9" t="s">
        <v>54</v>
      </c>
      <c r="D12" s="9" t="s">
        <v>55</v>
      </c>
    </row>
    <row r="13" spans="1:4" ht="79.95" customHeight="1" outlineLevel="1" x14ac:dyDescent="0.3">
      <c r="A13" s="10" t="s">
        <v>24</v>
      </c>
      <c r="B13" s="12" t="s">
        <v>74</v>
      </c>
      <c r="C13" s="12" t="s">
        <v>75</v>
      </c>
      <c r="D13" s="12" t="s">
        <v>76</v>
      </c>
    </row>
    <row r="14" spans="1:4" ht="79.95" customHeight="1" outlineLevel="1" x14ac:dyDescent="0.3">
      <c r="A14" s="10" t="s">
        <v>25</v>
      </c>
      <c r="B14" s="12" t="s">
        <v>77</v>
      </c>
      <c r="C14" s="12" t="s">
        <v>78</v>
      </c>
      <c r="D14" s="12" t="s">
        <v>79</v>
      </c>
    </row>
    <row r="15" spans="1:4" ht="79.95" customHeight="1" outlineLevel="1" x14ac:dyDescent="0.3">
      <c r="A15" s="10" t="s">
        <v>58</v>
      </c>
      <c r="B15" s="12" t="s">
        <v>80</v>
      </c>
      <c r="C15" s="12" t="s">
        <v>81</v>
      </c>
      <c r="D15" s="12" t="s">
        <v>82</v>
      </c>
    </row>
    <row r="16" spans="1:4" ht="79.95" customHeight="1" outlineLevel="1" collapsed="1" x14ac:dyDescent="0.3">
      <c r="A16" s="10" t="s">
        <v>59</v>
      </c>
      <c r="B16" s="12" t="s">
        <v>83</v>
      </c>
      <c r="C16" s="12" t="s">
        <v>84</v>
      </c>
      <c r="D16" s="12" t="s">
        <v>85</v>
      </c>
    </row>
    <row r="18" spans="1:4" ht="22.05" customHeight="1" x14ac:dyDescent="0.3">
      <c r="A18" s="23" t="s">
        <v>61</v>
      </c>
      <c r="B18" s="14"/>
      <c r="C18" s="14"/>
      <c r="D18" s="14"/>
    </row>
    <row r="19" spans="1:4" ht="19.95" customHeight="1" outlineLevel="1" x14ac:dyDescent="0.3">
      <c r="A19" s="9" t="s">
        <v>19</v>
      </c>
      <c r="B19" s="9" t="s">
        <v>53</v>
      </c>
      <c r="C19" s="9" t="s">
        <v>54</v>
      </c>
      <c r="D19" s="9" t="s">
        <v>55</v>
      </c>
    </row>
    <row r="20" spans="1:4" ht="79.95" customHeight="1" outlineLevel="1" x14ac:dyDescent="0.3">
      <c r="A20" s="10" t="s">
        <v>24</v>
      </c>
      <c r="B20" s="12" t="s">
        <v>87</v>
      </c>
      <c r="C20" s="12" t="s">
        <v>88</v>
      </c>
      <c r="D20" s="12" t="s">
        <v>89</v>
      </c>
    </row>
    <row r="21" spans="1:4" ht="79.95" customHeight="1" outlineLevel="1" x14ac:dyDescent="0.3">
      <c r="A21" s="10" t="s">
        <v>25</v>
      </c>
      <c r="B21" s="12" t="s">
        <v>90</v>
      </c>
      <c r="C21" s="12" t="s">
        <v>91</v>
      </c>
      <c r="D21" s="12" t="s">
        <v>92</v>
      </c>
    </row>
    <row r="22" spans="1:4" ht="79.95" customHeight="1" outlineLevel="1" x14ac:dyDescent="0.3">
      <c r="A22" s="10" t="s">
        <v>58</v>
      </c>
      <c r="B22" s="12" t="s">
        <v>93</v>
      </c>
      <c r="C22" s="12" t="s">
        <v>94</v>
      </c>
      <c r="D22" s="12" t="s">
        <v>95</v>
      </c>
    </row>
    <row r="23" spans="1:4" ht="79.95" customHeight="1" outlineLevel="1" collapsed="1" x14ac:dyDescent="0.3">
      <c r="A23" s="10" t="s">
        <v>59</v>
      </c>
      <c r="B23" s="12" t="s">
        <v>96</v>
      </c>
      <c r="C23" s="12" t="s">
        <v>97</v>
      </c>
      <c r="D23" s="12" t="s">
        <v>98</v>
      </c>
    </row>
    <row r="25" spans="1:4" ht="22.05" customHeight="1" x14ac:dyDescent="0.3">
      <c r="A25" s="23" t="s">
        <v>62</v>
      </c>
      <c r="B25" s="14"/>
      <c r="C25" s="14"/>
      <c r="D25" s="14"/>
    </row>
    <row r="26" spans="1:4" ht="19.95" customHeight="1" outlineLevel="1" x14ac:dyDescent="0.3">
      <c r="A26" s="9" t="s">
        <v>19</v>
      </c>
      <c r="B26" s="9" t="s">
        <v>53</v>
      </c>
      <c r="C26" s="9" t="s">
        <v>54</v>
      </c>
      <c r="D26" s="9" t="s">
        <v>55</v>
      </c>
    </row>
    <row r="27" spans="1:4" ht="79.95" customHeight="1" outlineLevel="1" x14ac:dyDescent="0.3">
      <c r="A27" s="10" t="s">
        <v>24</v>
      </c>
      <c r="B27" s="12" t="s">
        <v>99</v>
      </c>
      <c r="C27" s="12" t="s">
        <v>100</v>
      </c>
      <c r="D27" s="12" t="s">
        <v>101</v>
      </c>
    </row>
    <row r="28" spans="1:4" ht="79.95" customHeight="1" outlineLevel="1" x14ac:dyDescent="0.3">
      <c r="A28" s="10" t="s">
        <v>25</v>
      </c>
      <c r="B28" s="12" t="s">
        <v>102</v>
      </c>
      <c r="C28" s="12" t="s">
        <v>103</v>
      </c>
      <c r="D28" s="12" t="s">
        <v>104</v>
      </c>
    </row>
    <row r="29" spans="1:4" ht="79.95" customHeight="1" outlineLevel="1" x14ac:dyDescent="0.3">
      <c r="A29" s="10" t="s">
        <v>58</v>
      </c>
      <c r="B29" s="12" t="s">
        <v>105</v>
      </c>
      <c r="C29" s="12" t="s">
        <v>106</v>
      </c>
      <c r="D29" s="12" t="s">
        <v>107</v>
      </c>
    </row>
    <row r="30" spans="1:4" ht="79.95" customHeight="1" outlineLevel="1" collapsed="1" x14ac:dyDescent="0.3">
      <c r="A30" s="10" t="s">
        <v>59</v>
      </c>
      <c r="B30" s="12" t="s">
        <v>108</v>
      </c>
      <c r="C30" s="12" t="s">
        <v>109</v>
      </c>
      <c r="D30" s="12" t="s">
        <v>110</v>
      </c>
    </row>
  </sheetData>
  <mergeCells count="6">
    <mergeCell ref="A1:D1"/>
    <mergeCell ref="A18:D18"/>
    <mergeCell ref="A4:D4"/>
    <mergeCell ref="A25:D25"/>
    <mergeCell ref="A2:D2"/>
    <mergeCell ref="A11:D11"/>
  </mergeCells>
  <pageMargins left="0.75" right="0.75" top="1" bottom="1" header="0.5" footer="0.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Summary_Ranking</vt:lpstr>
      <vt:lpstr>Product_Engineer</vt:lpstr>
      <vt:lpstr>MÔ TẢ - PHỤ LỤC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Quoc Hoan Dat</cp:lastModifiedBy>
  <dcterms:created xsi:type="dcterms:W3CDTF">2026-01-27T07:04:19Z</dcterms:created>
  <dcterms:modified xsi:type="dcterms:W3CDTF">2026-01-27T13:15:17Z</dcterms:modified>
</cp:coreProperties>
</file>