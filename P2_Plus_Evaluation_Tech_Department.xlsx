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Tiêu chí theo nhóm" sheetId="2" state="visible" r:id="rId2"/>
    <sheet name="Thành viên" sheetId="3" state="visible" r:id="rId3"/>
    <sheet name="Tự đánh giá" sheetId="4" state="visible" r:id="rId4"/>
    <sheet name="KPI Công việc" sheetId="5" state="visible" r:id="rId5"/>
    <sheet name="Điểm tổng" sheetId="6" state="visible" r:id="rId6"/>
    <sheet name="Tổng quan"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6"/>
    </font>
    <font>
      <name val="Calibri"/>
      <b val="1"/>
      <color rgb="00FFFFFF"/>
      <sz val="12"/>
    </font>
    <font>
      <name val="Calibri"/>
      <color rgb="001F1F1F"/>
      <sz val="11"/>
    </font>
    <font>
      <name val="Calibri"/>
      <b val="1"/>
      <color rgb="001F1F1F"/>
      <sz val="11"/>
    </font>
  </fonts>
  <fills count="6">
    <fill>
      <patternFill/>
    </fill>
    <fill>
      <patternFill patternType="gray125"/>
    </fill>
    <fill>
      <patternFill patternType="solid">
        <fgColor rgb="001F4E79"/>
      </patternFill>
    </fill>
    <fill>
      <patternFill patternType="solid">
        <fgColor rgb="002F5597"/>
      </patternFill>
    </fill>
    <fill>
      <patternFill patternType="solid">
        <fgColor rgb="00FFFFFF"/>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0" pivotButton="0" quotePrefix="0" xfId="0"/>
    <xf numFmtId="0" fontId="3" fillId="4" borderId="0" applyAlignment="1" pivotButton="0" quotePrefix="0" xfId="0">
      <alignment horizontal="left" vertical="top" wrapText="1"/>
    </xf>
    <xf numFmtId="0" fontId="4" fillId="5"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5" borderId="0" applyAlignment="1" pivotButton="0" quotePrefix="0" xfId="0">
      <alignment horizontal="center" vertical="center" wrapText="1"/>
    </xf>
    <xf numFmtId="0" fontId="0" fillId="0" borderId="1" pivotButton="0" quotePrefix="0" xfId="0"/>
    <xf numFmtId="2" fontId="0" fillId="0" borderId="1" pivotButton="0" quotePrefix="0" xfId="0"/>
    <xf numFmtId="0" fontId="3" fillId="0" borderId="0" pivotButton="0" quotePrefix="0" xfId="0"/>
    <xf numFmtId="2" fontId="3" fillId="0" borderId="0" pivotButton="0" quotePrefix="0" xfId="0"/>
    <xf numFmtId="0" fontId="4" fillId="5" borderId="0" pivotButton="0" quotePrefix="0" xfId="0"/>
    <xf numFmtId="2" fontId="0" fillId="0" borderId="0"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Phân bố theo mức</a:t>
            </a:r>
          </a:p>
        </rich>
      </tx>
    </title>
    <plotArea>
      <barChart>
        <barDir val="col"/>
        <grouping val="clustered"/>
        <ser>
          <idx val="0"/>
          <order val="0"/>
          <spPr>
            <a:ln>
              <a:prstDash val="solid"/>
            </a:ln>
          </spPr>
          <cat>
            <numRef>
              <f>'Tổng quan'!$A$4:$A$6</f>
            </numRef>
          </cat>
          <val>
            <numRef>
              <f>'Tổng quan'!$B$4:$B$6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Số lượng</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s>
  <sheetData>
    <row r="1" ht="32" customHeight="1">
      <c r="A1" s="1" t="inlineStr">
        <is>
          <t>Hướng dẫn cách nhập điểm số - Đánh giá P2+</t>
        </is>
      </c>
    </row>
    <row r="3" ht="22" customHeight="1">
      <c r="A3" s="2" t="inlineStr">
        <is>
          <t>1. Thứ tự nhập liệu</t>
        </is>
      </c>
    </row>
    <row r="4" ht="84" customHeight="1">
      <c r="A4" s="3" t="inlineStr">
        <is>
          <t>• Bước 1: Nhập danh sách thành viên tại sheet "Thành viên" (Họ tên, Vai trò, Mức hiện tại, Mức mục tiêu).
  - Vai trò: Backend, Frontend, Fullstack, Designer. Một người có thể có nhiều vai trò (nhập cách nhau bằng dấu phẩy, ví dụ: Backend, Frontend).
• Bước 2: Nhập điểm Tự đánh giá tại sheet "Tự đánh giá" (điểm 1–3 cho từng nhóm).
• Bước 3: Nhập điểm KPI tại sheet "KPI Công việc" (Đúng hạn, Chất lượng, Trách nhiệm).
• Sheet "Điểm tổng" và "Tổng quan" tự động tính từ dữ liệu đã nhập.</t>
        </is>
      </c>
    </row>
    <row r="6" ht="22" customHeight="1">
      <c r="A6" s="2" t="inlineStr">
        <is>
          <t>2. Cách nhập điểm Tự đánh giá (sheet Tự đánh giá)</t>
        </is>
      </c>
    </row>
    <row r="7" ht="116" customHeight="1">
      <c r="A7" s="3" t="inlineStr">
        <is>
          <t>• Mỗi hàng tương ứng một thành viên (Họ tên lấy tự động từ sheet Thành viên).
• Bốn cột điểm: Kỹ thuật, Công việc, Trách nhiệm, AI Agent.
• Chỉ nhập số nguyên từ 1 đến 3:
  - 1 = Mức 1 (L1): Thực hiện độc lập có hướng dẫn
  - 2 = Mức 2 (L2): Tối ưu, chủ động
  - 3 = Mức 3 (L3): Thiết kế, dẫn dắt, tư duy hệ thống
• Tham chiếu tiêu chí chi tiết tại sheet "Tiêu chí theo nhóm".</t>
        </is>
      </c>
    </row>
    <row r="9" ht="22" customHeight="1">
      <c r="A9" s="2" t="inlineStr">
        <is>
          <t>3. Cách nhập điểm KPI Công việc (sheet KPI Công việc)</t>
        </is>
      </c>
    </row>
    <row r="10" ht="68" customHeight="1">
      <c r="A10" s="3" t="inlineStr">
        <is>
          <t>• Ba cột cần nhập: Đúng hạn (40%), Chất lượng (30%), Trách nhiệm (30%).
• Nhập điểm theo thang 1–5 (1 = thấp, 5 = cao) hoặc thang 1–3 tùy quy định nội bộ.
• Cột "Điểm Công việc" tự tính: Đúng hạn x 0,4 + Chất lượng x 0,3 + Trách nhiệm x 0,3.
• Không nhập chữ hoặc để trống nếu chưa đánh giá; có thể nhập 0 nếu cần.</t>
        </is>
      </c>
    </row>
    <row r="12" ht="22" customHeight="1">
      <c r="A12" s="2" t="inlineStr">
        <is>
          <t>4. Cách đọc kết quả</t>
        </is>
      </c>
    </row>
    <row r="13" ht="52" customHeight="1">
      <c r="A13" s="3" t="inlineStr">
        <is>
          <t>• Sheet "Điểm tổng": Điểm Năng lực = trung bình 4 nhóm Tự đánh giá; Điểm P2+ Tổng = 50% Năng lực + 50% Delivery (Điểm Công việc).
• Màu nền cột Điểm P2+ Tổng: Xanh (&gt;= 2,5), Vàng (2,0 – 2,49), Đỏ (&lt; 2,0).
• Sheet "Tổng quan": Số lượng theo mức L1/L2/L3, điểm trung bình phòng ban, bảng Xuất sắc và Cần cải thiện.</t>
        </is>
      </c>
    </row>
    <row r="15" ht="22" customHeight="1">
      <c r="A15" s="2" t="inlineStr">
        <is>
          <t>5. Liên kết với file P2_Form_BP_Cong_Nghe.xlsx</t>
        </is>
      </c>
    </row>
    <row r="16" ht="100" customHeight="1">
      <c r="A16" s="3" t="inlineStr">
        <is>
          <t>• Mối quan hệ: File này (P2_Plus_Evaluation_Tech_Department.xlsx) dùng để đánh giá P2+ nội bộ; file P2_Form_BP_Cong_Nghe.xlsx là mẫu đánh giá P2 Bộ phận Công Nghệ chính thức. Có thể dùng kết quả từ file này để điền hoặc báo cáo vào P2_Form.
• Cách 1 – Tham chiếu từ P2_Form sang file này: Trong P2_Form_BP_Cong_Nghe.xlsx, tại ô cần lấy điểm, nhập công thức tham chiếu ngoài, ví dụ:
  ='[P2_Plus_Evaluation_Tech_Department.xlsx]Điểm tổng'!D2
  (Lấy Điểm P2+ Tổng của hàng 2. Thay D2 bằng D3, D4,... tương ứng từng người. Hai file nên đặt cùng thư mục.)
• Cách 2 – Copy kết quả sang P2_Form: Copy cột Họ tên (A) và Điểm P2+ Tổng (D) từ sheet "Điểm tổng" của file này, dán vào vị trí tương ứng trong P2_Form_BP_Cong_Nghe.xlsx (Dán giá trị để tránh phụ thuộc liên kết).
• Lưu ý: Khi mở file có công thức liên kết ngoài, Excel sẽ hỏi "Cập nhật liên kết". Chọn Có nếu file kia cùng thư mục và cần lấy dữ liệu mới nhất. Nếu đổi tên hoặc di chuyển file, cần sửa lại đường dẫn trong công thức.</t>
        </is>
      </c>
    </row>
  </sheetData>
  <mergeCells count="11">
    <mergeCell ref="A4:B4"/>
    <mergeCell ref="A16:B16"/>
    <mergeCell ref="A15:B15"/>
    <mergeCell ref="A7:B7"/>
    <mergeCell ref="A10:B10"/>
    <mergeCell ref="A13:B13"/>
    <mergeCell ref="A1:B1"/>
    <mergeCell ref="A9:B9"/>
    <mergeCell ref="A3:B3"/>
    <mergeCell ref="A6:B6"/>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38" customWidth="1" min="3" max="3"/>
    <col width="38" customWidth="1" min="4" max="4"/>
  </cols>
  <sheetData>
    <row r="1" ht="22" customHeight="1">
      <c r="A1" s="4" t="inlineStr">
        <is>
          <t>Nhóm</t>
        </is>
      </c>
      <c r="B1" s="4" t="inlineStr">
        <is>
          <t>Mức 1</t>
        </is>
      </c>
      <c r="C1" s="4" t="inlineStr">
        <is>
          <t>Mức 2</t>
        </is>
      </c>
      <c r="D1" s="4" t="inlineStr">
        <is>
          <t>Mức 3</t>
        </is>
      </c>
    </row>
    <row r="2" ht="28" customHeight="1">
      <c r="A2" s="5" t="inlineStr">
        <is>
          <t>Kỹ thuật</t>
        </is>
      </c>
      <c r="B2" s="5" t="inlineStr">
        <is>
          <t>Triển khai feature end-to-end có hướng dẫn; kiểm thử cơ bản.</t>
        </is>
      </c>
      <c r="C2" s="5" t="inlineStr">
        <is>
          <t>Thiết kế API/DB/UI độc lập; tối ưu hiệu năng/bảo mật; kiểm thử vững.</t>
        </is>
      </c>
      <c r="D2" s="5" t="inlineStr">
        <is>
          <t>Thiết kế kiến trúc; refactor hệ thống lớn; hướng dẫn người khác.</t>
        </is>
      </c>
    </row>
    <row r="3" ht="28" customHeight="1">
      <c r="A3" s="5" t="inlineStr">
        <is>
          <t>Công việc</t>
        </is>
      </c>
      <c r="B3" s="5" t="inlineStr">
        <is>
          <t>Hoàn thành đúng hạn; tỷ lệ lỗi thấp.</t>
        </is>
      </c>
      <c r="C3" s="5" t="inlineStr">
        <is>
          <t>Ước lượng tin cậy; chia nhỏ công việc; bản release ổn định.</t>
        </is>
      </c>
      <c r="D3" s="5" t="inlineStr">
        <is>
          <t>Chịu trách nhiệm delivery dự án; phối hợp liên đội; kết quả dự đoán được.</t>
        </is>
      </c>
    </row>
    <row r="4" ht="28" customHeight="1">
      <c r="A4" s="5" t="inlineStr">
        <is>
          <t>Trách nhiệm</t>
        </is>
      </c>
      <c r="B4" s="5" t="inlineStr">
        <is>
          <t>Chịu trách nhiệm với task được giao.</t>
        </is>
      </c>
      <c r="C4" s="5" t="inlineStr">
        <is>
          <t>Chủ động nhận diện rủi ro; đề xuất cải tiến.</t>
        </is>
      </c>
      <c r="D4" s="5" t="inlineStr">
        <is>
          <t>Thúc đẩy sáng kiến; gỡ bỏ blocker; chịu trách nhiệm toàn phần.</t>
        </is>
      </c>
    </row>
    <row r="5" ht="28" customHeight="1">
      <c r="A5" s="5" t="inlineStr">
        <is>
          <t>AI Agent</t>
        </is>
      </c>
      <c r="B5" s="5" t="inlineStr">
        <is>
          <t>Dùng công cụ AI hỗ trợ viết code.</t>
        </is>
      </c>
      <c r="C5" s="5" t="inlineStr">
        <is>
          <t>Thiết kế prompt/automation/workflow.</t>
        </is>
      </c>
      <c r="D5" s="5" t="inlineStr">
        <is>
          <t>Xây hệ thống AI; tối ưu năng suất đội.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14" customWidth="1" min="3" max="3"/>
    <col width="14" customWidth="1" min="4" max="4"/>
    <col width="30" customWidth="1" min="5" max="5"/>
  </cols>
  <sheetData>
    <row r="1" ht="22" customHeight="1">
      <c r="A1" s="6" t="inlineStr">
        <is>
          <t>Họ tên</t>
        </is>
      </c>
      <c r="B1" s="6" t="inlineStr">
        <is>
          <t>Vai trò</t>
        </is>
      </c>
      <c r="C1" s="6" t="inlineStr">
        <is>
          <t>Mức hiện tại</t>
        </is>
      </c>
      <c r="D1" s="6" t="inlineStr">
        <is>
          <t>Mức mục tiêu</t>
        </is>
      </c>
      <c r="E1" s="6" t="inlineStr">
        <is>
          <t>Ghi chú</t>
        </is>
      </c>
    </row>
    <row r="2">
      <c r="A2" s="7" t="n"/>
      <c r="B2" s="7" t="n"/>
      <c r="C2" s="7" t="n"/>
      <c r="D2" s="7" t="n"/>
      <c r="E2" s="7" t="n"/>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row r="9">
      <c r="A9" s="7" t="n"/>
      <c r="B9" s="7" t="n"/>
      <c r="C9" s="7" t="n"/>
      <c r="D9" s="7" t="n"/>
      <c r="E9" s="7" t="n"/>
    </row>
    <row r="10">
      <c r="A10" s="7" t="n"/>
      <c r="B10" s="7" t="n"/>
      <c r="C10" s="7" t="n"/>
      <c r="D10" s="7" t="n"/>
      <c r="E10" s="7" t="n"/>
    </row>
    <row r="11">
      <c r="A11" s="7" t="n"/>
      <c r="B11" s="7" t="n"/>
      <c r="C11" s="7" t="n"/>
      <c r="D11" s="7" t="n"/>
      <c r="E11" s="7" t="n"/>
    </row>
    <row r="12">
      <c r="A12" s="7" t="n"/>
      <c r="B12" s="7" t="n"/>
      <c r="C12" s="7" t="n"/>
      <c r="D12" s="7" t="n"/>
      <c r="E12" s="7" t="n"/>
    </row>
    <row r="13">
      <c r="A13" s="7" t="n"/>
      <c r="B13" s="7" t="n"/>
      <c r="C13" s="7" t="n"/>
      <c r="D13" s="7" t="n"/>
      <c r="E13" s="7" t="n"/>
    </row>
    <row r="14">
      <c r="A14" s="7" t="n"/>
      <c r="B14" s="7" t="n"/>
      <c r="C14" s="7" t="n"/>
      <c r="D14" s="7" t="n"/>
      <c r="E14" s="7" t="n"/>
    </row>
    <row r="15">
      <c r="A15" s="7" t="n"/>
      <c r="B15" s="7" t="n"/>
      <c r="C15" s="7" t="n"/>
      <c r="D15" s="7" t="n"/>
      <c r="E15" s="7" t="n"/>
    </row>
    <row r="16">
      <c r="A16" s="7" t="n"/>
      <c r="B16" s="7" t="n"/>
      <c r="C16" s="7" t="n"/>
      <c r="D16" s="7" t="n"/>
      <c r="E16" s="7" t="n"/>
    </row>
    <row r="17">
      <c r="A17" s="7" t="n"/>
      <c r="B17" s="7" t="n"/>
      <c r="C17" s="7" t="n"/>
      <c r="D17" s="7" t="n"/>
      <c r="E17" s="7" t="n"/>
    </row>
    <row r="18">
      <c r="A18" s="7" t="n"/>
      <c r="B18" s="7" t="n"/>
      <c r="C18" s="7" t="n"/>
      <c r="D18" s="7" t="n"/>
      <c r="E18" s="7" t="n"/>
    </row>
    <row r="19">
      <c r="A19" s="7" t="n"/>
      <c r="B19" s="7" t="n"/>
      <c r="C19" s="7" t="n"/>
      <c r="D19" s="7" t="n"/>
      <c r="E19" s="7" t="n"/>
    </row>
    <row r="20">
      <c r="A20" s="7" t="n"/>
      <c r="B20" s="7" t="n"/>
      <c r="C20" s="7" t="n"/>
      <c r="D20" s="7" t="n"/>
      <c r="E20" s="7" t="n"/>
    </row>
    <row r="21">
      <c r="A21" s="7" t="n"/>
      <c r="B21" s="7" t="n"/>
      <c r="C21" s="7" t="n"/>
      <c r="D21" s="7" t="n"/>
      <c r="E21" s="7" t="n"/>
    </row>
    <row r="22">
      <c r="A22" s="7" t="n"/>
      <c r="B22" s="7" t="n"/>
      <c r="C22" s="7" t="n"/>
      <c r="D22" s="7" t="n"/>
      <c r="E22" s="7" t="n"/>
    </row>
    <row r="23">
      <c r="A23" s="7" t="n"/>
      <c r="B23" s="7" t="n"/>
      <c r="C23" s="7" t="n"/>
      <c r="D23" s="7" t="n"/>
      <c r="E23" s="7" t="n"/>
    </row>
    <row r="24">
      <c r="A24" s="7" t="n"/>
      <c r="B24" s="7" t="n"/>
      <c r="C24" s="7" t="n"/>
      <c r="D24" s="7" t="n"/>
      <c r="E24" s="7" t="n"/>
    </row>
    <row r="25">
      <c r="A25" s="7" t="n"/>
      <c r="B25" s="7" t="n"/>
      <c r="C25" s="7" t="n"/>
      <c r="D25" s="7" t="n"/>
      <c r="E25" s="7" t="n"/>
    </row>
    <row r="26">
      <c r="A26" s="7" t="n"/>
      <c r="B26" s="7" t="n"/>
      <c r="C26" s="7" t="n"/>
      <c r="D26" s="7" t="n"/>
      <c r="E26" s="7" t="n"/>
    </row>
    <row r="27">
      <c r="A27" s="7" t="n"/>
      <c r="B27" s="7" t="n"/>
      <c r="C27" s="7" t="n"/>
      <c r="D27" s="7" t="n"/>
      <c r="E27" s="7" t="n"/>
    </row>
    <row r="28">
      <c r="A28" s="7" t="n"/>
      <c r="B28" s="7" t="n"/>
      <c r="C28" s="7" t="n"/>
      <c r="D28" s="7" t="n"/>
      <c r="E28" s="7" t="n"/>
    </row>
    <row r="29">
      <c r="A29" s="7" t="n"/>
      <c r="B29" s="7" t="n"/>
      <c r="C29" s="7" t="n"/>
      <c r="D29" s="7" t="n"/>
      <c r="E29" s="7" t="n"/>
    </row>
    <row r="30">
      <c r="A30" s="7" t="n"/>
      <c r="B30" s="7" t="n"/>
      <c r="C30" s="7" t="n"/>
      <c r="D30" s="7" t="n"/>
      <c r="E30" s="7" t="n"/>
    </row>
    <row r="31">
      <c r="A31" s="7" t="n"/>
      <c r="B31" s="7" t="n"/>
      <c r="C31" s="7" t="n"/>
      <c r="D31" s="7" t="n"/>
      <c r="E31" s="7" t="n"/>
    </row>
    <row r="32">
      <c r="A32" s="7" t="n"/>
      <c r="B32" s="7" t="n"/>
      <c r="C32" s="7" t="n"/>
      <c r="D32" s="7" t="n"/>
      <c r="E32" s="7" t="n"/>
    </row>
    <row r="33">
      <c r="A33" s="7" t="n"/>
      <c r="B33" s="7" t="n"/>
      <c r="C33" s="7" t="n"/>
      <c r="D33" s="7" t="n"/>
      <c r="E33" s="7" t="n"/>
    </row>
    <row r="34">
      <c r="A34" s="7" t="n"/>
      <c r="B34" s="7" t="n"/>
      <c r="C34" s="7" t="n"/>
      <c r="D34" s="7" t="n"/>
      <c r="E34" s="7" t="n"/>
    </row>
    <row r="35">
      <c r="A35" s="7" t="n"/>
      <c r="B35" s="7" t="n"/>
      <c r="C35" s="7" t="n"/>
      <c r="D35" s="7" t="n"/>
      <c r="E35" s="7" t="n"/>
    </row>
    <row r="36">
      <c r="A36" s="7" t="n"/>
      <c r="B36" s="7" t="n"/>
      <c r="C36" s="7" t="n"/>
      <c r="D36" s="7" t="n"/>
      <c r="E36" s="7" t="n"/>
    </row>
    <row r="37">
      <c r="A37" s="7" t="n"/>
      <c r="B37" s="7" t="n"/>
      <c r="C37" s="7" t="n"/>
      <c r="D37" s="7" t="n"/>
      <c r="E37" s="7" t="n"/>
    </row>
    <row r="38">
      <c r="A38" s="7" t="n"/>
      <c r="B38" s="7" t="n"/>
      <c r="C38" s="7" t="n"/>
      <c r="D38" s="7" t="n"/>
      <c r="E38" s="7" t="n"/>
    </row>
    <row r="39">
      <c r="A39" s="7" t="n"/>
      <c r="B39" s="7" t="n"/>
      <c r="C39" s="7" t="n"/>
      <c r="D39" s="7" t="n"/>
      <c r="E39" s="7" t="n"/>
    </row>
    <row r="40">
      <c r="A40" s="7" t="n"/>
      <c r="B40" s="7" t="n"/>
      <c r="C40" s="7" t="n"/>
      <c r="D40" s="7" t="n"/>
      <c r="E40" s="7" t="n"/>
    </row>
    <row r="41">
      <c r="A41" s="7" t="n"/>
      <c r="B41" s="7" t="n"/>
      <c r="C41" s="7" t="n"/>
      <c r="D41" s="7" t="n"/>
      <c r="E41" s="7" t="n"/>
    </row>
    <row r="42">
      <c r="A42" s="7" t="n"/>
      <c r="B42" s="7" t="n"/>
      <c r="C42" s="7" t="n"/>
      <c r="D42" s="7" t="n"/>
      <c r="E42" s="7" t="n"/>
    </row>
    <row r="43">
      <c r="A43" s="7" t="n"/>
      <c r="B43" s="7" t="n"/>
      <c r="C43" s="7" t="n"/>
      <c r="D43" s="7" t="n"/>
      <c r="E43" s="7" t="n"/>
    </row>
    <row r="44">
      <c r="A44" s="7" t="n"/>
      <c r="B44" s="7" t="n"/>
      <c r="C44" s="7" t="n"/>
      <c r="D44" s="7" t="n"/>
      <c r="E44" s="7" t="n"/>
    </row>
    <row r="45">
      <c r="A45" s="7" t="n"/>
      <c r="B45" s="7" t="n"/>
      <c r="C45" s="7" t="n"/>
      <c r="D45" s="7" t="n"/>
      <c r="E45" s="7" t="n"/>
    </row>
    <row r="46">
      <c r="A46" s="7" t="n"/>
      <c r="B46" s="7" t="n"/>
      <c r="C46" s="7" t="n"/>
      <c r="D46" s="7" t="n"/>
      <c r="E46" s="7" t="n"/>
    </row>
    <row r="47">
      <c r="A47" s="7" t="n"/>
      <c r="B47" s="7" t="n"/>
      <c r="C47" s="7" t="n"/>
      <c r="D47" s="7" t="n"/>
      <c r="E47" s="7" t="n"/>
    </row>
    <row r="48">
      <c r="A48" s="7" t="n"/>
      <c r="B48" s="7" t="n"/>
      <c r="C48" s="7" t="n"/>
      <c r="D48" s="7" t="n"/>
      <c r="E48" s="7" t="n"/>
    </row>
    <row r="49">
      <c r="A49" s="7" t="n"/>
      <c r="B49" s="7" t="n"/>
      <c r="C49" s="7" t="n"/>
      <c r="D49" s="7" t="n"/>
      <c r="E49" s="7" t="n"/>
    </row>
    <row r="50">
      <c r="A50" s="7" t="n"/>
      <c r="B50" s="7" t="n"/>
      <c r="C50" s="7" t="n"/>
      <c r="D50" s="7" t="n"/>
      <c r="E50" s="7" t="n"/>
    </row>
    <row r="51">
      <c r="A51" s="7" t="n"/>
      <c r="B51" s="7" t="n"/>
      <c r="C51" s="7" t="n"/>
      <c r="D51" s="7" t="n"/>
      <c r="E51" s="7" t="n"/>
    </row>
  </sheetData>
  <dataValidations count="2">
    <dataValidation sqref="B2:B51" showDropDown="0" showInputMessage="0" showErrorMessage="0" allowBlank="1" promptTitle="Vai trò" prompt="Vai trò: Backend, Frontend, Fullstack, Designer. Có thể nhập nhiều vai trò, cách nhau bằng dấu phẩy (vd: Backend, Frontend)" type="textLength" operator="lessThanOrEqual">
      <formula1>255</formula1>
    </dataValidation>
    <dataValidation sqref="C2:C51 D2:D51" showDropDown="0" showInputMessage="0" showErrorMessage="0" allowBlank="1" type="list">
      <formula1>"L1,L2,L3"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s>
  <sheetData>
    <row r="1" ht="22" customHeight="1">
      <c r="A1" s="6" t="inlineStr">
        <is>
          <t>Họ tên</t>
        </is>
      </c>
      <c r="B1" s="6" t="inlineStr">
        <is>
          <t>Kỹ thuật</t>
        </is>
      </c>
      <c r="C1" s="6" t="inlineStr">
        <is>
          <t>Công việc</t>
        </is>
      </c>
      <c r="D1" s="6" t="inlineStr">
        <is>
          <t>Trách nhiệm</t>
        </is>
      </c>
      <c r="E1" s="6" t="inlineStr">
        <is>
          <t>AI Agent</t>
        </is>
      </c>
    </row>
    <row r="2">
      <c r="A2">
        <f>'Thành viên'!A2</f>
        <v/>
      </c>
      <c r="B2" s="7" t="n"/>
      <c r="C2" s="7" t="n"/>
      <c r="D2" s="7" t="n"/>
      <c r="E2" s="7" t="n"/>
    </row>
    <row r="3">
      <c r="A3">
        <f>'Thành viên'!A3</f>
        <v/>
      </c>
      <c r="B3" s="7" t="n"/>
      <c r="C3" s="7" t="n"/>
      <c r="D3" s="7" t="n"/>
      <c r="E3" s="7" t="n"/>
    </row>
    <row r="4">
      <c r="A4">
        <f>'Thành viên'!A4</f>
        <v/>
      </c>
      <c r="B4" s="7" t="n"/>
      <c r="C4" s="7" t="n"/>
      <c r="D4" s="7" t="n"/>
      <c r="E4" s="7" t="n"/>
    </row>
    <row r="5">
      <c r="A5">
        <f>'Thành viên'!A5</f>
        <v/>
      </c>
      <c r="B5" s="7" t="n"/>
      <c r="C5" s="7" t="n"/>
      <c r="D5" s="7" t="n"/>
      <c r="E5" s="7" t="n"/>
    </row>
    <row r="6">
      <c r="A6">
        <f>'Thành viên'!A6</f>
        <v/>
      </c>
      <c r="B6" s="7" t="n"/>
      <c r="C6" s="7" t="n"/>
      <c r="D6" s="7" t="n"/>
      <c r="E6" s="7" t="n"/>
    </row>
    <row r="7">
      <c r="A7">
        <f>'Thành viên'!A7</f>
        <v/>
      </c>
      <c r="B7" s="7" t="n"/>
      <c r="C7" s="7" t="n"/>
      <c r="D7" s="7" t="n"/>
      <c r="E7" s="7" t="n"/>
    </row>
    <row r="8">
      <c r="A8">
        <f>'Thành viên'!A8</f>
        <v/>
      </c>
      <c r="B8" s="7" t="n"/>
      <c r="C8" s="7" t="n"/>
      <c r="D8" s="7" t="n"/>
      <c r="E8" s="7" t="n"/>
    </row>
    <row r="9">
      <c r="A9">
        <f>'Thành viên'!A9</f>
        <v/>
      </c>
      <c r="B9" s="7" t="n"/>
      <c r="C9" s="7" t="n"/>
      <c r="D9" s="7" t="n"/>
      <c r="E9" s="7" t="n"/>
    </row>
    <row r="10">
      <c r="A10">
        <f>'Thành viên'!A10</f>
        <v/>
      </c>
      <c r="B10" s="7" t="n"/>
      <c r="C10" s="7" t="n"/>
      <c r="D10" s="7" t="n"/>
      <c r="E10" s="7" t="n"/>
    </row>
    <row r="11">
      <c r="A11">
        <f>'Thành viên'!A11</f>
        <v/>
      </c>
      <c r="B11" s="7" t="n"/>
      <c r="C11" s="7" t="n"/>
      <c r="D11" s="7" t="n"/>
      <c r="E11" s="7" t="n"/>
    </row>
    <row r="12">
      <c r="A12">
        <f>'Thành viên'!A12</f>
        <v/>
      </c>
      <c r="B12" s="7" t="n"/>
      <c r="C12" s="7" t="n"/>
      <c r="D12" s="7" t="n"/>
      <c r="E12" s="7" t="n"/>
    </row>
    <row r="13">
      <c r="A13">
        <f>'Thành viên'!A13</f>
        <v/>
      </c>
      <c r="B13" s="7" t="n"/>
      <c r="C13" s="7" t="n"/>
      <c r="D13" s="7" t="n"/>
      <c r="E13" s="7" t="n"/>
    </row>
    <row r="14">
      <c r="A14">
        <f>'Thành viên'!A14</f>
        <v/>
      </c>
      <c r="B14" s="7" t="n"/>
      <c r="C14" s="7" t="n"/>
      <c r="D14" s="7" t="n"/>
      <c r="E14" s="7" t="n"/>
    </row>
    <row r="15">
      <c r="A15">
        <f>'Thành viên'!A15</f>
        <v/>
      </c>
      <c r="B15" s="7" t="n"/>
      <c r="C15" s="7" t="n"/>
      <c r="D15" s="7" t="n"/>
      <c r="E15" s="7" t="n"/>
    </row>
    <row r="16">
      <c r="A16">
        <f>'Thành viên'!A16</f>
        <v/>
      </c>
      <c r="B16" s="7" t="n"/>
      <c r="C16" s="7" t="n"/>
      <c r="D16" s="7" t="n"/>
      <c r="E16" s="7" t="n"/>
    </row>
    <row r="17">
      <c r="A17">
        <f>'Thành viên'!A17</f>
        <v/>
      </c>
      <c r="B17" s="7" t="n"/>
      <c r="C17" s="7" t="n"/>
      <c r="D17" s="7" t="n"/>
      <c r="E17" s="7" t="n"/>
    </row>
    <row r="18">
      <c r="A18">
        <f>'Thành viên'!A18</f>
        <v/>
      </c>
      <c r="B18" s="7" t="n"/>
      <c r="C18" s="7" t="n"/>
      <c r="D18" s="7" t="n"/>
      <c r="E18" s="7" t="n"/>
    </row>
    <row r="19">
      <c r="A19">
        <f>'Thành viên'!A19</f>
        <v/>
      </c>
      <c r="B19" s="7" t="n"/>
      <c r="C19" s="7" t="n"/>
      <c r="D19" s="7" t="n"/>
      <c r="E19" s="7" t="n"/>
    </row>
    <row r="20">
      <c r="A20">
        <f>'Thành viên'!A20</f>
        <v/>
      </c>
      <c r="B20" s="7" t="n"/>
      <c r="C20" s="7" t="n"/>
      <c r="D20" s="7" t="n"/>
      <c r="E20" s="7" t="n"/>
    </row>
    <row r="21">
      <c r="A21">
        <f>'Thành viên'!A21</f>
        <v/>
      </c>
      <c r="B21" s="7" t="n"/>
      <c r="C21" s="7" t="n"/>
      <c r="D21" s="7" t="n"/>
      <c r="E21" s="7" t="n"/>
    </row>
    <row r="22">
      <c r="A22">
        <f>'Thành viên'!A22</f>
        <v/>
      </c>
      <c r="B22" s="7" t="n"/>
      <c r="C22" s="7" t="n"/>
      <c r="D22" s="7" t="n"/>
      <c r="E22" s="7" t="n"/>
    </row>
    <row r="23">
      <c r="A23">
        <f>'Thành viên'!A23</f>
        <v/>
      </c>
      <c r="B23" s="7" t="n"/>
      <c r="C23" s="7" t="n"/>
      <c r="D23" s="7" t="n"/>
      <c r="E23" s="7" t="n"/>
    </row>
    <row r="24">
      <c r="A24">
        <f>'Thành viên'!A24</f>
        <v/>
      </c>
      <c r="B24" s="7" t="n"/>
      <c r="C24" s="7" t="n"/>
      <c r="D24" s="7" t="n"/>
      <c r="E24" s="7" t="n"/>
    </row>
    <row r="25">
      <c r="A25">
        <f>'Thành viên'!A25</f>
        <v/>
      </c>
      <c r="B25" s="7" t="n"/>
      <c r="C25" s="7" t="n"/>
      <c r="D25" s="7" t="n"/>
      <c r="E25" s="7" t="n"/>
    </row>
    <row r="26">
      <c r="A26">
        <f>'Thành viên'!A26</f>
        <v/>
      </c>
      <c r="B26" s="7" t="n"/>
      <c r="C26" s="7" t="n"/>
      <c r="D26" s="7" t="n"/>
      <c r="E26" s="7" t="n"/>
    </row>
    <row r="27">
      <c r="A27">
        <f>'Thành viên'!A27</f>
        <v/>
      </c>
      <c r="B27" s="7" t="n"/>
      <c r="C27" s="7" t="n"/>
      <c r="D27" s="7" t="n"/>
      <c r="E27" s="7" t="n"/>
    </row>
    <row r="28">
      <c r="A28">
        <f>'Thành viên'!A28</f>
        <v/>
      </c>
      <c r="B28" s="7" t="n"/>
      <c r="C28" s="7" t="n"/>
      <c r="D28" s="7" t="n"/>
      <c r="E28" s="7" t="n"/>
    </row>
    <row r="29">
      <c r="A29">
        <f>'Thành viên'!A29</f>
        <v/>
      </c>
      <c r="B29" s="7" t="n"/>
      <c r="C29" s="7" t="n"/>
      <c r="D29" s="7" t="n"/>
      <c r="E29" s="7" t="n"/>
    </row>
    <row r="30">
      <c r="A30">
        <f>'Thành viên'!A30</f>
        <v/>
      </c>
      <c r="B30" s="7" t="n"/>
      <c r="C30" s="7" t="n"/>
      <c r="D30" s="7" t="n"/>
      <c r="E30" s="7" t="n"/>
    </row>
    <row r="31">
      <c r="A31">
        <f>'Thành viên'!A31</f>
        <v/>
      </c>
      <c r="B31" s="7" t="n"/>
      <c r="C31" s="7" t="n"/>
      <c r="D31" s="7" t="n"/>
      <c r="E31" s="7" t="n"/>
    </row>
    <row r="32">
      <c r="A32">
        <f>'Thành viên'!A32</f>
        <v/>
      </c>
      <c r="B32" s="7" t="n"/>
      <c r="C32" s="7" t="n"/>
      <c r="D32" s="7" t="n"/>
      <c r="E32" s="7" t="n"/>
    </row>
    <row r="33">
      <c r="A33">
        <f>'Thành viên'!A33</f>
        <v/>
      </c>
      <c r="B33" s="7" t="n"/>
      <c r="C33" s="7" t="n"/>
      <c r="D33" s="7" t="n"/>
      <c r="E33" s="7" t="n"/>
    </row>
    <row r="34">
      <c r="A34">
        <f>'Thành viên'!A34</f>
        <v/>
      </c>
      <c r="B34" s="7" t="n"/>
      <c r="C34" s="7" t="n"/>
      <c r="D34" s="7" t="n"/>
      <c r="E34" s="7" t="n"/>
    </row>
    <row r="35">
      <c r="A35">
        <f>'Thành viên'!A35</f>
        <v/>
      </c>
      <c r="B35" s="7" t="n"/>
      <c r="C35" s="7" t="n"/>
      <c r="D35" s="7" t="n"/>
      <c r="E35" s="7" t="n"/>
    </row>
    <row r="36">
      <c r="A36">
        <f>'Thành viên'!A36</f>
        <v/>
      </c>
      <c r="B36" s="7" t="n"/>
      <c r="C36" s="7" t="n"/>
      <c r="D36" s="7" t="n"/>
      <c r="E36" s="7" t="n"/>
    </row>
    <row r="37">
      <c r="A37">
        <f>'Thành viên'!A37</f>
        <v/>
      </c>
      <c r="B37" s="7" t="n"/>
      <c r="C37" s="7" t="n"/>
      <c r="D37" s="7" t="n"/>
      <c r="E37" s="7" t="n"/>
    </row>
    <row r="38">
      <c r="A38">
        <f>'Thành viên'!A38</f>
        <v/>
      </c>
      <c r="B38" s="7" t="n"/>
      <c r="C38" s="7" t="n"/>
      <c r="D38" s="7" t="n"/>
      <c r="E38" s="7" t="n"/>
    </row>
    <row r="39">
      <c r="A39">
        <f>'Thành viên'!A39</f>
        <v/>
      </c>
      <c r="B39" s="7" t="n"/>
      <c r="C39" s="7" t="n"/>
      <c r="D39" s="7" t="n"/>
      <c r="E39" s="7" t="n"/>
    </row>
    <row r="40">
      <c r="A40">
        <f>'Thành viên'!A40</f>
        <v/>
      </c>
      <c r="B40" s="7" t="n"/>
      <c r="C40" s="7" t="n"/>
      <c r="D40" s="7" t="n"/>
      <c r="E40" s="7" t="n"/>
    </row>
    <row r="41">
      <c r="A41">
        <f>'Thành viên'!A41</f>
        <v/>
      </c>
      <c r="B41" s="7" t="n"/>
      <c r="C41" s="7" t="n"/>
      <c r="D41" s="7" t="n"/>
      <c r="E41" s="7" t="n"/>
    </row>
    <row r="42">
      <c r="A42">
        <f>'Thành viên'!A42</f>
        <v/>
      </c>
      <c r="B42" s="7" t="n"/>
      <c r="C42" s="7" t="n"/>
      <c r="D42" s="7" t="n"/>
      <c r="E42" s="7" t="n"/>
    </row>
    <row r="43">
      <c r="A43">
        <f>'Thành viên'!A43</f>
        <v/>
      </c>
      <c r="B43" s="7" t="n"/>
      <c r="C43" s="7" t="n"/>
      <c r="D43" s="7" t="n"/>
      <c r="E43" s="7" t="n"/>
    </row>
    <row r="44">
      <c r="A44">
        <f>'Thành viên'!A44</f>
        <v/>
      </c>
      <c r="B44" s="7" t="n"/>
      <c r="C44" s="7" t="n"/>
      <c r="D44" s="7" t="n"/>
      <c r="E44" s="7" t="n"/>
    </row>
    <row r="45">
      <c r="A45">
        <f>'Thành viên'!A45</f>
        <v/>
      </c>
      <c r="B45" s="7" t="n"/>
      <c r="C45" s="7" t="n"/>
      <c r="D45" s="7" t="n"/>
      <c r="E45" s="7" t="n"/>
    </row>
    <row r="46">
      <c r="A46">
        <f>'Thành viên'!A46</f>
        <v/>
      </c>
      <c r="B46" s="7" t="n"/>
      <c r="C46" s="7" t="n"/>
      <c r="D46" s="7" t="n"/>
      <c r="E46" s="7" t="n"/>
    </row>
    <row r="47">
      <c r="A47">
        <f>'Thành viên'!A47</f>
        <v/>
      </c>
      <c r="B47" s="7" t="n"/>
      <c r="C47" s="7" t="n"/>
      <c r="D47" s="7" t="n"/>
      <c r="E47" s="7" t="n"/>
    </row>
    <row r="48">
      <c r="A48">
        <f>'Thành viên'!A48</f>
        <v/>
      </c>
      <c r="B48" s="7" t="n"/>
      <c r="C48" s="7" t="n"/>
      <c r="D48" s="7" t="n"/>
      <c r="E48" s="7" t="n"/>
    </row>
    <row r="49">
      <c r="A49">
        <f>'Thành viên'!A49</f>
        <v/>
      </c>
      <c r="B49" s="7" t="n"/>
      <c r="C49" s="7" t="n"/>
      <c r="D49" s="7" t="n"/>
      <c r="E49" s="7" t="n"/>
    </row>
    <row r="50">
      <c r="A50">
        <f>'Thành viên'!A50</f>
        <v/>
      </c>
      <c r="B50" s="7" t="n"/>
      <c r="C50" s="7" t="n"/>
      <c r="D50" s="7" t="n"/>
      <c r="E50" s="7" t="n"/>
    </row>
    <row r="51">
      <c r="A51">
        <f>'Thành viên'!A51</f>
        <v/>
      </c>
      <c r="B51" s="7" t="n"/>
      <c r="C51" s="7" t="n"/>
      <c r="D51" s="7" t="n"/>
      <c r="E51" s="7" t="n"/>
    </row>
  </sheetData>
  <dataValidations count="1">
    <dataValidation sqref="B2:E51" showDropDown="0" showInputMessage="0" showErrorMessage="0" allowBlank="1" type="whole" operator="between">
      <formula1>1</formula1>
      <formula2>3</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 width="18" customWidth="1" min="5" max="5"/>
  </cols>
  <sheetData>
    <row r="1" ht="22" customHeight="1">
      <c r="A1" s="6" t="inlineStr">
        <is>
          <t>Họ tên</t>
        </is>
      </c>
      <c r="B1" s="6" t="inlineStr">
        <is>
          <t>Đúng hạn (40%)</t>
        </is>
      </c>
      <c r="C1" s="6" t="inlineStr">
        <is>
          <t>Chất lượng (30%)</t>
        </is>
      </c>
      <c r="D1" s="6" t="inlineStr">
        <is>
          <t>Trách nhiệm (30%)</t>
        </is>
      </c>
      <c r="E1" s="6" t="inlineStr">
        <is>
          <t>Điểm Công việc</t>
        </is>
      </c>
    </row>
    <row r="2">
      <c r="A2" s="7">
        <f>'Thành viên'!A2</f>
        <v/>
      </c>
      <c r="B2" s="7" t="n"/>
      <c r="C2" s="7" t="n"/>
      <c r="D2" s="7" t="n"/>
      <c r="E2" s="8">
        <f>IF(COUNT(B2:D2)=0,"",B2*0.4+C2*0.3+D2*0.3)</f>
        <v/>
      </c>
    </row>
    <row r="3">
      <c r="A3" s="7">
        <f>'Thành viên'!A3</f>
        <v/>
      </c>
      <c r="B3" s="7" t="n"/>
      <c r="C3" s="7" t="n"/>
      <c r="D3" s="7" t="n"/>
      <c r="E3" s="8">
        <f>IF(COUNT(B3:D3)=0,"",B3*0.4+C3*0.3+D3*0.3)</f>
        <v/>
      </c>
    </row>
    <row r="4">
      <c r="A4" s="7">
        <f>'Thành viên'!A4</f>
        <v/>
      </c>
      <c r="B4" s="7" t="n"/>
      <c r="C4" s="7" t="n"/>
      <c r="D4" s="7" t="n"/>
      <c r="E4" s="8">
        <f>IF(COUNT(B4:D4)=0,"",B4*0.4+C4*0.3+D4*0.3)</f>
        <v/>
      </c>
    </row>
    <row r="5">
      <c r="A5" s="7">
        <f>'Thành viên'!A5</f>
        <v/>
      </c>
      <c r="B5" s="7" t="n"/>
      <c r="C5" s="7" t="n"/>
      <c r="D5" s="7" t="n"/>
      <c r="E5" s="8">
        <f>IF(COUNT(B5:D5)=0,"",B5*0.4+C5*0.3+D5*0.3)</f>
        <v/>
      </c>
    </row>
    <row r="6">
      <c r="A6" s="7">
        <f>'Thành viên'!A6</f>
        <v/>
      </c>
      <c r="B6" s="7" t="n"/>
      <c r="C6" s="7" t="n"/>
      <c r="D6" s="7" t="n"/>
      <c r="E6" s="8">
        <f>IF(COUNT(B6:D6)=0,"",B6*0.4+C6*0.3+D6*0.3)</f>
        <v/>
      </c>
    </row>
    <row r="7">
      <c r="A7" s="7">
        <f>'Thành viên'!A7</f>
        <v/>
      </c>
      <c r="B7" s="7" t="n"/>
      <c r="C7" s="7" t="n"/>
      <c r="D7" s="7" t="n"/>
      <c r="E7" s="8">
        <f>IF(COUNT(B7:D7)=0,"",B7*0.4+C7*0.3+D7*0.3)</f>
        <v/>
      </c>
    </row>
    <row r="8">
      <c r="A8" s="7">
        <f>'Thành viên'!A8</f>
        <v/>
      </c>
      <c r="B8" s="7" t="n"/>
      <c r="C8" s="7" t="n"/>
      <c r="D8" s="7" t="n"/>
      <c r="E8" s="8">
        <f>IF(COUNT(B8:D8)=0,"",B8*0.4+C8*0.3+D8*0.3)</f>
        <v/>
      </c>
    </row>
    <row r="9">
      <c r="A9" s="7">
        <f>'Thành viên'!A9</f>
        <v/>
      </c>
      <c r="B9" s="7" t="n"/>
      <c r="C9" s="7" t="n"/>
      <c r="D9" s="7" t="n"/>
      <c r="E9" s="8">
        <f>IF(COUNT(B9:D9)=0,"",B9*0.4+C9*0.3+D9*0.3)</f>
        <v/>
      </c>
    </row>
    <row r="10">
      <c r="A10" s="7">
        <f>'Thành viên'!A10</f>
        <v/>
      </c>
      <c r="B10" s="7" t="n"/>
      <c r="C10" s="7" t="n"/>
      <c r="D10" s="7" t="n"/>
      <c r="E10" s="8">
        <f>IF(COUNT(B10:D10)=0,"",B10*0.4+C10*0.3+D10*0.3)</f>
        <v/>
      </c>
    </row>
    <row r="11">
      <c r="A11" s="7">
        <f>'Thành viên'!A11</f>
        <v/>
      </c>
      <c r="B11" s="7" t="n"/>
      <c r="C11" s="7" t="n"/>
      <c r="D11" s="7" t="n"/>
      <c r="E11" s="8">
        <f>IF(COUNT(B11:D11)=0,"",B11*0.4+C11*0.3+D11*0.3)</f>
        <v/>
      </c>
    </row>
    <row r="12">
      <c r="A12" s="7">
        <f>'Thành viên'!A12</f>
        <v/>
      </c>
      <c r="B12" s="7" t="n"/>
      <c r="C12" s="7" t="n"/>
      <c r="D12" s="7" t="n"/>
      <c r="E12" s="8">
        <f>IF(COUNT(B12:D12)=0,"",B12*0.4+C12*0.3+D12*0.3)</f>
        <v/>
      </c>
    </row>
    <row r="13">
      <c r="A13" s="7">
        <f>'Thành viên'!A13</f>
        <v/>
      </c>
      <c r="B13" s="7" t="n"/>
      <c r="C13" s="7" t="n"/>
      <c r="D13" s="7" t="n"/>
      <c r="E13" s="8">
        <f>IF(COUNT(B13:D13)=0,"",B13*0.4+C13*0.3+D13*0.3)</f>
        <v/>
      </c>
    </row>
    <row r="14">
      <c r="A14" s="7">
        <f>'Thành viên'!A14</f>
        <v/>
      </c>
      <c r="B14" s="7" t="n"/>
      <c r="C14" s="7" t="n"/>
      <c r="D14" s="7" t="n"/>
      <c r="E14" s="8">
        <f>IF(COUNT(B14:D14)=0,"",B14*0.4+C14*0.3+D14*0.3)</f>
        <v/>
      </c>
    </row>
    <row r="15">
      <c r="A15" s="7">
        <f>'Thành viên'!A15</f>
        <v/>
      </c>
      <c r="B15" s="7" t="n"/>
      <c r="C15" s="7" t="n"/>
      <c r="D15" s="7" t="n"/>
      <c r="E15" s="8">
        <f>IF(COUNT(B15:D15)=0,"",B15*0.4+C15*0.3+D15*0.3)</f>
        <v/>
      </c>
    </row>
    <row r="16">
      <c r="A16" s="7">
        <f>'Thành viên'!A16</f>
        <v/>
      </c>
      <c r="B16" s="7" t="n"/>
      <c r="C16" s="7" t="n"/>
      <c r="D16" s="7" t="n"/>
      <c r="E16" s="8">
        <f>IF(COUNT(B16:D16)=0,"",B16*0.4+C16*0.3+D16*0.3)</f>
        <v/>
      </c>
    </row>
    <row r="17">
      <c r="A17" s="7">
        <f>'Thành viên'!A17</f>
        <v/>
      </c>
      <c r="B17" s="7" t="n"/>
      <c r="C17" s="7" t="n"/>
      <c r="D17" s="7" t="n"/>
      <c r="E17" s="8">
        <f>IF(COUNT(B17:D17)=0,"",B17*0.4+C17*0.3+D17*0.3)</f>
        <v/>
      </c>
    </row>
    <row r="18">
      <c r="A18" s="7">
        <f>'Thành viên'!A18</f>
        <v/>
      </c>
      <c r="B18" s="7" t="n"/>
      <c r="C18" s="7" t="n"/>
      <c r="D18" s="7" t="n"/>
      <c r="E18" s="8">
        <f>IF(COUNT(B18:D18)=0,"",B18*0.4+C18*0.3+D18*0.3)</f>
        <v/>
      </c>
    </row>
    <row r="19">
      <c r="A19" s="7">
        <f>'Thành viên'!A19</f>
        <v/>
      </c>
      <c r="B19" s="7" t="n"/>
      <c r="C19" s="7" t="n"/>
      <c r="D19" s="7" t="n"/>
      <c r="E19" s="8">
        <f>IF(COUNT(B19:D19)=0,"",B19*0.4+C19*0.3+D19*0.3)</f>
        <v/>
      </c>
    </row>
    <row r="20">
      <c r="A20" s="7">
        <f>'Thành viên'!A20</f>
        <v/>
      </c>
      <c r="B20" s="7" t="n"/>
      <c r="C20" s="7" t="n"/>
      <c r="D20" s="7" t="n"/>
      <c r="E20" s="8">
        <f>IF(COUNT(B20:D20)=0,"",B20*0.4+C20*0.3+D20*0.3)</f>
        <v/>
      </c>
    </row>
    <row r="21">
      <c r="A21" s="7">
        <f>'Thành viên'!A21</f>
        <v/>
      </c>
      <c r="B21" s="7" t="n"/>
      <c r="C21" s="7" t="n"/>
      <c r="D21" s="7" t="n"/>
      <c r="E21" s="8">
        <f>IF(COUNT(B21:D21)=0,"",B21*0.4+C21*0.3+D21*0.3)</f>
        <v/>
      </c>
    </row>
    <row r="22">
      <c r="A22" s="7">
        <f>'Thành viên'!A22</f>
        <v/>
      </c>
      <c r="B22" s="7" t="n"/>
      <c r="C22" s="7" t="n"/>
      <c r="D22" s="7" t="n"/>
      <c r="E22" s="8">
        <f>IF(COUNT(B22:D22)=0,"",B22*0.4+C22*0.3+D22*0.3)</f>
        <v/>
      </c>
    </row>
    <row r="23">
      <c r="A23" s="7">
        <f>'Thành viên'!A23</f>
        <v/>
      </c>
      <c r="B23" s="7" t="n"/>
      <c r="C23" s="7" t="n"/>
      <c r="D23" s="7" t="n"/>
      <c r="E23" s="8">
        <f>IF(COUNT(B23:D23)=0,"",B23*0.4+C23*0.3+D23*0.3)</f>
        <v/>
      </c>
    </row>
    <row r="24">
      <c r="A24" s="7">
        <f>'Thành viên'!A24</f>
        <v/>
      </c>
      <c r="B24" s="7" t="n"/>
      <c r="C24" s="7" t="n"/>
      <c r="D24" s="7" t="n"/>
      <c r="E24" s="8">
        <f>IF(COUNT(B24:D24)=0,"",B24*0.4+C24*0.3+D24*0.3)</f>
        <v/>
      </c>
    </row>
    <row r="25">
      <c r="A25" s="7">
        <f>'Thành viên'!A25</f>
        <v/>
      </c>
      <c r="B25" s="7" t="n"/>
      <c r="C25" s="7" t="n"/>
      <c r="D25" s="7" t="n"/>
      <c r="E25" s="8">
        <f>IF(COUNT(B25:D25)=0,"",B25*0.4+C25*0.3+D25*0.3)</f>
        <v/>
      </c>
    </row>
    <row r="26">
      <c r="A26" s="7">
        <f>'Thành viên'!A26</f>
        <v/>
      </c>
      <c r="B26" s="7" t="n"/>
      <c r="C26" s="7" t="n"/>
      <c r="D26" s="7" t="n"/>
      <c r="E26" s="8">
        <f>IF(COUNT(B26:D26)=0,"",B26*0.4+C26*0.3+D26*0.3)</f>
        <v/>
      </c>
    </row>
    <row r="27">
      <c r="A27" s="7">
        <f>'Thành viên'!A27</f>
        <v/>
      </c>
      <c r="B27" s="7" t="n"/>
      <c r="C27" s="7" t="n"/>
      <c r="D27" s="7" t="n"/>
      <c r="E27" s="8">
        <f>IF(COUNT(B27:D27)=0,"",B27*0.4+C27*0.3+D27*0.3)</f>
        <v/>
      </c>
    </row>
    <row r="28">
      <c r="A28" s="7">
        <f>'Thành viên'!A28</f>
        <v/>
      </c>
      <c r="B28" s="7" t="n"/>
      <c r="C28" s="7" t="n"/>
      <c r="D28" s="7" t="n"/>
      <c r="E28" s="8">
        <f>IF(COUNT(B28:D28)=0,"",B28*0.4+C28*0.3+D28*0.3)</f>
        <v/>
      </c>
    </row>
    <row r="29">
      <c r="A29" s="7">
        <f>'Thành viên'!A29</f>
        <v/>
      </c>
      <c r="B29" s="7" t="n"/>
      <c r="C29" s="7" t="n"/>
      <c r="D29" s="7" t="n"/>
      <c r="E29" s="8">
        <f>IF(COUNT(B29:D29)=0,"",B29*0.4+C29*0.3+D29*0.3)</f>
        <v/>
      </c>
    </row>
    <row r="30">
      <c r="A30" s="7">
        <f>'Thành viên'!A30</f>
        <v/>
      </c>
      <c r="B30" s="7" t="n"/>
      <c r="C30" s="7" t="n"/>
      <c r="D30" s="7" t="n"/>
      <c r="E30" s="8">
        <f>IF(COUNT(B30:D30)=0,"",B30*0.4+C30*0.3+D30*0.3)</f>
        <v/>
      </c>
    </row>
    <row r="31">
      <c r="A31" s="7">
        <f>'Thành viên'!A31</f>
        <v/>
      </c>
      <c r="B31" s="7" t="n"/>
      <c r="C31" s="7" t="n"/>
      <c r="D31" s="7" t="n"/>
      <c r="E31" s="8">
        <f>IF(COUNT(B31:D31)=0,"",B31*0.4+C31*0.3+D31*0.3)</f>
        <v/>
      </c>
    </row>
    <row r="32">
      <c r="A32" s="7">
        <f>'Thành viên'!A32</f>
        <v/>
      </c>
      <c r="B32" s="7" t="n"/>
      <c r="C32" s="7" t="n"/>
      <c r="D32" s="7" t="n"/>
      <c r="E32" s="8">
        <f>IF(COUNT(B32:D32)=0,"",B32*0.4+C32*0.3+D32*0.3)</f>
        <v/>
      </c>
    </row>
    <row r="33">
      <c r="A33" s="7">
        <f>'Thành viên'!A33</f>
        <v/>
      </c>
      <c r="B33" s="7" t="n"/>
      <c r="C33" s="7" t="n"/>
      <c r="D33" s="7" t="n"/>
      <c r="E33" s="8">
        <f>IF(COUNT(B33:D33)=0,"",B33*0.4+C33*0.3+D33*0.3)</f>
        <v/>
      </c>
    </row>
    <row r="34">
      <c r="A34" s="7">
        <f>'Thành viên'!A34</f>
        <v/>
      </c>
      <c r="B34" s="7" t="n"/>
      <c r="C34" s="7" t="n"/>
      <c r="D34" s="7" t="n"/>
      <c r="E34" s="8">
        <f>IF(COUNT(B34:D34)=0,"",B34*0.4+C34*0.3+D34*0.3)</f>
        <v/>
      </c>
    </row>
    <row r="35">
      <c r="A35" s="7">
        <f>'Thành viên'!A35</f>
        <v/>
      </c>
      <c r="B35" s="7" t="n"/>
      <c r="C35" s="7" t="n"/>
      <c r="D35" s="7" t="n"/>
      <c r="E35" s="8">
        <f>IF(COUNT(B35:D35)=0,"",B35*0.4+C35*0.3+D35*0.3)</f>
        <v/>
      </c>
    </row>
    <row r="36">
      <c r="A36" s="7">
        <f>'Thành viên'!A36</f>
        <v/>
      </c>
      <c r="B36" s="7" t="n"/>
      <c r="C36" s="7" t="n"/>
      <c r="D36" s="7" t="n"/>
      <c r="E36" s="8">
        <f>IF(COUNT(B36:D36)=0,"",B36*0.4+C36*0.3+D36*0.3)</f>
        <v/>
      </c>
    </row>
    <row r="37">
      <c r="A37" s="7">
        <f>'Thành viên'!A37</f>
        <v/>
      </c>
      <c r="B37" s="7" t="n"/>
      <c r="C37" s="7" t="n"/>
      <c r="D37" s="7" t="n"/>
      <c r="E37" s="8">
        <f>IF(COUNT(B37:D37)=0,"",B37*0.4+C37*0.3+D37*0.3)</f>
        <v/>
      </c>
    </row>
    <row r="38">
      <c r="A38" s="7">
        <f>'Thành viên'!A38</f>
        <v/>
      </c>
      <c r="B38" s="7" t="n"/>
      <c r="C38" s="7" t="n"/>
      <c r="D38" s="7" t="n"/>
      <c r="E38" s="8">
        <f>IF(COUNT(B38:D38)=0,"",B38*0.4+C38*0.3+D38*0.3)</f>
        <v/>
      </c>
    </row>
    <row r="39">
      <c r="A39" s="7">
        <f>'Thành viên'!A39</f>
        <v/>
      </c>
      <c r="B39" s="7" t="n"/>
      <c r="C39" s="7" t="n"/>
      <c r="D39" s="7" t="n"/>
      <c r="E39" s="8">
        <f>IF(COUNT(B39:D39)=0,"",B39*0.4+C39*0.3+D39*0.3)</f>
        <v/>
      </c>
    </row>
    <row r="40">
      <c r="A40" s="7">
        <f>'Thành viên'!A40</f>
        <v/>
      </c>
      <c r="B40" s="7" t="n"/>
      <c r="C40" s="7" t="n"/>
      <c r="D40" s="7" t="n"/>
      <c r="E40" s="8">
        <f>IF(COUNT(B40:D40)=0,"",B40*0.4+C40*0.3+D40*0.3)</f>
        <v/>
      </c>
    </row>
    <row r="41">
      <c r="A41" s="7">
        <f>'Thành viên'!A41</f>
        <v/>
      </c>
      <c r="B41" s="7" t="n"/>
      <c r="C41" s="7" t="n"/>
      <c r="D41" s="7" t="n"/>
      <c r="E41" s="8">
        <f>IF(COUNT(B41:D41)=0,"",B41*0.4+C41*0.3+D41*0.3)</f>
        <v/>
      </c>
    </row>
    <row r="42">
      <c r="A42" s="7">
        <f>'Thành viên'!A42</f>
        <v/>
      </c>
      <c r="B42" s="7" t="n"/>
      <c r="C42" s="7" t="n"/>
      <c r="D42" s="7" t="n"/>
      <c r="E42" s="8">
        <f>IF(COUNT(B42:D42)=0,"",B42*0.4+C42*0.3+D42*0.3)</f>
        <v/>
      </c>
    </row>
    <row r="43">
      <c r="A43" s="7">
        <f>'Thành viên'!A43</f>
        <v/>
      </c>
      <c r="B43" s="7" t="n"/>
      <c r="C43" s="7" t="n"/>
      <c r="D43" s="7" t="n"/>
      <c r="E43" s="8">
        <f>IF(COUNT(B43:D43)=0,"",B43*0.4+C43*0.3+D43*0.3)</f>
        <v/>
      </c>
    </row>
    <row r="44">
      <c r="A44" s="7">
        <f>'Thành viên'!A44</f>
        <v/>
      </c>
      <c r="B44" s="7" t="n"/>
      <c r="C44" s="7" t="n"/>
      <c r="D44" s="7" t="n"/>
      <c r="E44" s="8">
        <f>IF(COUNT(B44:D44)=0,"",B44*0.4+C44*0.3+D44*0.3)</f>
        <v/>
      </c>
    </row>
    <row r="45">
      <c r="A45" s="7">
        <f>'Thành viên'!A45</f>
        <v/>
      </c>
      <c r="B45" s="7" t="n"/>
      <c r="C45" s="7" t="n"/>
      <c r="D45" s="7" t="n"/>
      <c r="E45" s="8">
        <f>IF(COUNT(B45:D45)=0,"",B45*0.4+C45*0.3+D45*0.3)</f>
        <v/>
      </c>
    </row>
    <row r="46">
      <c r="A46" s="7">
        <f>'Thành viên'!A46</f>
        <v/>
      </c>
      <c r="B46" s="7" t="n"/>
      <c r="C46" s="7" t="n"/>
      <c r="D46" s="7" t="n"/>
      <c r="E46" s="8">
        <f>IF(COUNT(B46:D46)=0,"",B46*0.4+C46*0.3+D46*0.3)</f>
        <v/>
      </c>
    </row>
    <row r="47">
      <c r="A47" s="7">
        <f>'Thành viên'!A47</f>
        <v/>
      </c>
      <c r="B47" s="7" t="n"/>
      <c r="C47" s="7" t="n"/>
      <c r="D47" s="7" t="n"/>
      <c r="E47" s="8">
        <f>IF(COUNT(B47:D47)=0,"",B47*0.4+C47*0.3+D47*0.3)</f>
        <v/>
      </c>
    </row>
    <row r="48">
      <c r="A48" s="7">
        <f>'Thành viên'!A48</f>
        <v/>
      </c>
      <c r="B48" s="7" t="n"/>
      <c r="C48" s="7" t="n"/>
      <c r="D48" s="7" t="n"/>
      <c r="E48" s="8">
        <f>IF(COUNT(B48:D48)=0,"",B48*0.4+C48*0.3+D48*0.3)</f>
        <v/>
      </c>
    </row>
    <row r="49">
      <c r="A49" s="7">
        <f>'Thành viên'!A49</f>
        <v/>
      </c>
      <c r="B49" s="7" t="n"/>
      <c r="C49" s="7" t="n"/>
      <c r="D49" s="7" t="n"/>
      <c r="E49" s="8">
        <f>IF(COUNT(B49:D49)=0,"",B49*0.4+C49*0.3+D49*0.3)</f>
        <v/>
      </c>
    </row>
    <row r="50">
      <c r="A50" s="7">
        <f>'Thành viên'!A50</f>
        <v/>
      </c>
      <c r="B50" s="7" t="n"/>
      <c r="C50" s="7" t="n"/>
      <c r="D50" s="7" t="n"/>
      <c r="E50" s="8">
        <f>IF(COUNT(B50:D50)=0,"",B50*0.4+C50*0.3+D50*0.3)</f>
        <v/>
      </c>
    </row>
    <row r="51">
      <c r="A51" s="7">
        <f>'Thành viên'!A51</f>
        <v/>
      </c>
      <c r="B51" s="7" t="n"/>
      <c r="C51" s="7" t="n"/>
      <c r="D51" s="7" t="n"/>
      <c r="E51" s="8">
        <f>IF(COUNT(B51:D51)=0,"",B51*0.4+C51*0.3+D51*0.3)</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s>
  <sheetData>
    <row r="1" ht="22" customHeight="1">
      <c r="A1" s="6" t="inlineStr">
        <is>
          <t>Họ tên</t>
        </is>
      </c>
      <c r="B1" s="6" t="inlineStr">
        <is>
          <t>Điểm Năng lực</t>
        </is>
      </c>
      <c r="C1" s="6" t="inlineStr">
        <is>
          <t>Điểm Công việc</t>
        </is>
      </c>
      <c r="D1" s="6" t="inlineStr">
        <is>
          <t>Điểm P2+ Tổng</t>
        </is>
      </c>
    </row>
    <row r="2">
      <c r="A2" s="7">
        <f>'Thành viên'!A2</f>
        <v/>
      </c>
      <c r="B2" s="8">
        <f>IF(COUNT('Tự đánh giá'!B2:E2)=0,"",AVERAGE('Tự đánh giá'!B2:E2))</f>
        <v/>
      </c>
      <c r="C2" s="8">
        <f>'KPI Công việc'!E2</f>
        <v/>
      </c>
      <c r="D2" s="8">
        <f>IF(AND(ISNUMBER(B2),ISNUMBER(C2)),B2*0.5+C2*0.5,"")</f>
        <v/>
      </c>
    </row>
    <row r="3">
      <c r="A3" s="7">
        <f>'Thành viên'!A3</f>
        <v/>
      </c>
      <c r="B3" s="8">
        <f>IF(COUNT('Tự đánh giá'!B3:E3)=0,"",AVERAGE('Tự đánh giá'!B3:E3))</f>
        <v/>
      </c>
      <c r="C3" s="8">
        <f>'KPI Công việc'!E3</f>
        <v/>
      </c>
      <c r="D3" s="8">
        <f>IF(AND(ISNUMBER(B3),ISNUMBER(C3)),B3*0.5+C3*0.5,"")</f>
        <v/>
      </c>
    </row>
    <row r="4">
      <c r="A4" s="7">
        <f>'Thành viên'!A4</f>
        <v/>
      </c>
      <c r="B4" s="8">
        <f>IF(COUNT('Tự đánh giá'!B4:E4)=0,"",AVERAGE('Tự đánh giá'!B4:E4))</f>
        <v/>
      </c>
      <c r="C4" s="8">
        <f>'KPI Công việc'!E4</f>
        <v/>
      </c>
      <c r="D4" s="8">
        <f>IF(AND(ISNUMBER(B4),ISNUMBER(C4)),B4*0.5+C4*0.5,"")</f>
        <v/>
      </c>
    </row>
    <row r="5">
      <c r="A5" s="7">
        <f>'Thành viên'!A5</f>
        <v/>
      </c>
      <c r="B5" s="8">
        <f>IF(COUNT('Tự đánh giá'!B5:E5)=0,"",AVERAGE('Tự đánh giá'!B5:E5))</f>
        <v/>
      </c>
      <c r="C5" s="8">
        <f>'KPI Công việc'!E5</f>
        <v/>
      </c>
      <c r="D5" s="8">
        <f>IF(AND(ISNUMBER(B5),ISNUMBER(C5)),B5*0.5+C5*0.5,"")</f>
        <v/>
      </c>
    </row>
    <row r="6">
      <c r="A6" s="7">
        <f>'Thành viên'!A6</f>
        <v/>
      </c>
      <c r="B6" s="8">
        <f>IF(COUNT('Tự đánh giá'!B6:E6)=0,"",AVERAGE('Tự đánh giá'!B6:E6))</f>
        <v/>
      </c>
      <c r="C6" s="8">
        <f>'KPI Công việc'!E6</f>
        <v/>
      </c>
      <c r="D6" s="8">
        <f>IF(AND(ISNUMBER(B6),ISNUMBER(C6)),B6*0.5+C6*0.5,"")</f>
        <v/>
      </c>
    </row>
    <row r="7">
      <c r="A7" s="7">
        <f>'Thành viên'!A7</f>
        <v/>
      </c>
      <c r="B7" s="8">
        <f>IF(COUNT('Tự đánh giá'!B7:E7)=0,"",AVERAGE('Tự đánh giá'!B7:E7))</f>
        <v/>
      </c>
      <c r="C7" s="8">
        <f>'KPI Công việc'!E7</f>
        <v/>
      </c>
      <c r="D7" s="8">
        <f>IF(AND(ISNUMBER(B7),ISNUMBER(C7)),B7*0.5+C7*0.5,"")</f>
        <v/>
      </c>
    </row>
    <row r="8">
      <c r="A8" s="7">
        <f>'Thành viên'!A8</f>
        <v/>
      </c>
      <c r="B8" s="8">
        <f>IF(COUNT('Tự đánh giá'!B8:E8)=0,"",AVERAGE('Tự đánh giá'!B8:E8))</f>
        <v/>
      </c>
      <c r="C8" s="8">
        <f>'KPI Công việc'!E8</f>
        <v/>
      </c>
      <c r="D8" s="8">
        <f>IF(AND(ISNUMBER(B8),ISNUMBER(C8)),B8*0.5+C8*0.5,"")</f>
        <v/>
      </c>
    </row>
    <row r="9">
      <c r="A9" s="7">
        <f>'Thành viên'!A9</f>
        <v/>
      </c>
      <c r="B9" s="8">
        <f>IF(COUNT('Tự đánh giá'!B9:E9)=0,"",AVERAGE('Tự đánh giá'!B9:E9))</f>
        <v/>
      </c>
      <c r="C9" s="8">
        <f>'KPI Công việc'!E9</f>
        <v/>
      </c>
      <c r="D9" s="8">
        <f>IF(AND(ISNUMBER(B9),ISNUMBER(C9)),B9*0.5+C9*0.5,"")</f>
        <v/>
      </c>
    </row>
    <row r="10">
      <c r="A10" s="7">
        <f>'Thành viên'!A10</f>
        <v/>
      </c>
      <c r="B10" s="8">
        <f>IF(COUNT('Tự đánh giá'!B10:E10)=0,"",AVERAGE('Tự đánh giá'!B10:E10))</f>
        <v/>
      </c>
      <c r="C10" s="8">
        <f>'KPI Công việc'!E10</f>
        <v/>
      </c>
      <c r="D10" s="8">
        <f>IF(AND(ISNUMBER(B10),ISNUMBER(C10)),B10*0.5+C10*0.5,"")</f>
        <v/>
      </c>
    </row>
    <row r="11">
      <c r="A11" s="7">
        <f>'Thành viên'!A11</f>
        <v/>
      </c>
      <c r="B11" s="8">
        <f>IF(COUNT('Tự đánh giá'!B11:E11)=0,"",AVERAGE('Tự đánh giá'!B11:E11))</f>
        <v/>
      </c>
      <c r="C11" s="8">
        <f>'KPI Công việc'!E11</f>
        <v/>
      </c>
      <c r="D11" s="8">
        <f>IF(AND(ISNUMBER(B11),ISNUMBER(C11)),B11*0.5+C11*0.5,"")</f>
        <v/>
      </c>
    </row>
    <row r="12">
      <c r="A12" s="7">
        <f>'Thành viên'!A12</f>
        <v/>
      </c>
      <c r="B12" s="8">
        <f>IF(COUNT('Tự đánh giá'!B12:E12)=0,"",AVERAGE('Tự đánh giá'!B12:E12))</f>
        <v/>
      </c>
      <c r="C12" s="8">
        <f>'KPI Công việc'!E12</f>
        <v/>
      </c>
      <c r="D12" s="8">
        <f>IF(AND(ISNUMBER(B12),ISNUMBER(C12)),B12*0.5+C12*0.5,"")</f>
        <v/>
      </c>
    </row>
    <row r="13">
      <c r="A13" s="7">
        <f>'Thành viên'!A13</f>
        <v/>
      </c>
      <c r="B13" s="8">
        <f>IF(COUNT('Tự đánh giá'!B13:E13)=0,"",AVERAGE('Tự đánh giá'!B13:E13))</f>
        <v/>
      </c>
      <c r="C13" s="8">
        <f>'KPI Công việc'!E13</f>
        <v/>
      </c>
      <c r="D13" s="8">
        <f>IF(AND(ISNUMBER(B13),ISNUMBER(C13)),B13*0.5+C13*0.5,"")</f>
        <v/>
      </c>
    </row>
    <row r="14">
      <c r="A14" s="7">
        <f>'Thành viên'!A14</f>
        <v/>
      </c>
      <c r="B14" s="8">
        <f>IF(COUNT('Tự đánh giá'!B14:E14)=0,"",AVERAGE('Tự đánh giá'!B14:E14))</f>
        <v/>
      </c>
      <c r="C14" s="8">
        <f>'KPI Công việc'!E14</f>
        <v/>
      </c>
      <c r="D14" s="8">
        <f>IF(AND(ISNUMBER(B14),ISNUMBER(C14)),B14*0.5+C14*0.5,"")</f>
        <v/>
      </c>
    </row>
    <row r="15">
      <c r="A15" s="7">
        <f>'Thành viên'!A15</f>
        <v/>
      </c>
      <c r="B15" s="8">
        <f>IF(COUNT('Tự đánh giá'!B15:E15)=0,"",AVERAGE('Tự đánh giá'!B15:E15))</f>
        <v/>
      </c>
      <c r="C15" s="8">
        <f>'KPI Công việc'!E15</f>
        <v/>
      </c>
      <c r="D15" s="8">
        <f>IF(AND(ISNUMBER(B15),ISNUMBER(C15)),B15*0.5+C15*0.5,"")</f>
        <v/>
      </c>
    </row>
    <row r="16">
      <c r="A16" s="7">
        <f>'Thành viên'!A16</f>
        <v/>
      </c>
      <c r="B16" s="8">
        <f>IF(COUNT('Tự đánh giá'!B16:E16)=0,"",AVERAGE('Tự đánh giá'!B16:E16))</f>
        <v/>
      </c>
      <c r="C16" s="8">
        <f>'KPI Công việc'!E16</f>
        <v/>
      </c>
      <c r="D16" s="8">
        <f>IF(AND(ISNUMBER(B16),ISNUMBER(C16)),B16*0.5+C16*0.5,"")</f>
        <v/>
      </c>
    </row>
    <row r="17">
      <c r="A17" s="7">
        <f>'Thành viên'!A17</f>
        <v/>
      </c>
      <c r="B17" s="8">
        <f>IF(COUNT('Tự đánh giá'!B17:E17)=0,"",AVERAGE('Tự đánh giá'!B17:E17))</f>
        <v/>
      </c>
      <c r="C17" s="8">
        <f>'KPI Công việc'!E17</f>
        <v/>
      </c>
      <c r="D17" s="8">
        <f>IF(AND(ISNUMBER(B17),ISNUMBER(C17)),B17*0.5+C17*0.5,"")</f>
        <v/>
      </c>
    </row>
    <row r="18">
      <c r="A18" s="7">
        <f>'Thành viên'!A18</f>
        <v/>
      </c>
      <c r="B18" s="8">
        <f>IF(COUNT('Tự đánh giá'!B18:E18)=0,"",AVERAGE('Tự đánh giá'!B18:E18))</f>
        <v/>
      </c>
      <c r="C18" s="8">
        <f>'KPI Công việc'!E18</f>
        <v/>
      </c>
      <c r="D18" s="8">
        <f>IF(AND(ISNUMBER(B18),ISNUMBER(C18)),B18*0.5+C18*0.5,"")</f>
        <v/>
      </c>
    </row>
    <row r="19">
      <c r="A19" s="7">
        <f>'Thành viên'!A19</f>
        <v/>
      </c>
      <c r="B19" s="8">
        <f>IF(COUNT('Tự đánh giá'!B19:E19)=0,"",AVERAGE('Tự đánh giá'!B19:E19))</f>
        <v/>
      </c>
      <c r="C19" s="8">
        <f>'KPI Công việc'!E19</f>
        <v/>
      </c>
      <c r="D19" s="8">
        <f>IF(AND(ISNUMBER(B19),ISNUMBER(C19)),B19*0.5+C19*0.5,"")</f>
        <v/>
      </c>
    </row>
    <row r="20">
      <c r="A20" s="7">
        <f>'Thành viên'!A20</f>
        <v/>
      </c>
      <c r="B20" s="8">
        <f>IF(COUNT('Tự đánh giá'!B20:E20)=0,"",AVERAGE('Tự đánh giá'!B20:E20))</f>
        <v/>
      </c>
      <c r="C20" s="8">
        <f>'KPI Công việc'!E20</f>
        <v/>
      </c>
      <c r="D20" s="8">
        <f>IF(AND(ISNUMBER(B20),ISNUMBER(C20)),B20*0.5+C20*0.5,"")</f>
        <v/>
      </c>
    </row>
    <row r="21">
      <c r="A21" s="7">
        <f>'Thành viên'!A21</f>
        <v/>
      </c>
      <c r="B21" s="8">
        <f>IF(COUNT('Tự đánh giá'!B21:E21)=0,"",AVERAGE('Tự đánh giá'!B21:E21))</f>
        <v/>
      </c>
      <c r="C21" s="8">
        <f>'KPI Công việc'!E21</f>
        <v/>
      </c>
      <c r="D21" s="8">
        <f>IF(AND(ISNUMBER(B21),ISNUMBER(C21)),B21*0.5+C21*0.5,"")</f>
        <v/>
      </c>
    </row>
    <row r="22">
      <c r="A22" s="7">
        <f>'Thành viên'!A22</f>
        <v/>
      </c>
      <c r="B22" s="8">
        <f>IF(COUNT('Tự đánh giá'!B22:E22)=0,"",AVERAGE('Tự đánh giá'!B22:E22))</f>
        <v/>
      </c>
      <c r="C22" s="8">
        <f>'KPI Công việc'!E22</f>
        <v/>
      </c>
      <c r="D22" s="8">
        <f>IF(AND(ISNUMBER(B22),ISNUMBER(C22)),B22*0.5+C22*0.5,"")</f>
        <v/>
      </c>
    </row>
    <row r="23">
      <c r="A23" s="7">
        <f>'Thành viên'!A23</f>
        <v/>
      </c>
      <c r="B23" s="8">
        <f>IF(COUNT('Tự đánh giá'!B23:E23)=0,"",AVERAGE('Tự đánh giá'!B23:E23))</f>
        <v/>
      </c>
      <c r="C23" s="8">
        <f>'KPI Công việc'!E23</f>
        <v/>
      </c>
      <c r="D23" s="8">
        <f>IF(AND(ISNUMBER(B23),ISNUMBER(C23)),B23*0.5+C23*0.5,"")</f>
        <v/>
      </c>
    </row>
    <row r="24">
      <c r="A24" s="7">
        <f>'Thành viên'!A24</f>
        <v/>
      </c>
      <c r="B24" s="8">
        <f>IF(COUNT('Tự đánh giá'!B24:E24)=0,"",AVERAGE('Tự đánh giá'!B24:E24))</f>
        <v/>
      </c>
      <c r="C24" s="8">
        <f>'KPI Công việc'!E24</f>
        <v/>
      </c>
      <c r="D24" s="8">
        <f>IF(AND(ISNUMBER(B24),ISNUMBER(C24)),B24*0.5+C24*0.5,"")</f>
        <v/>
      </c>
    </row>
    <row r="25">
      <c r="A25" s="7">
        <f>'Thành viên'!A25</f>
        <v/>
      </c>
      <c r="B25" s="8">
        <f>IF(COUNT('Tự đánh giá'!B25:E25)=0,"",AVERAGE('Tự đánh giá'!B25:E25))</f>
        <v/>
      </c>
      <c r="C25" s="8">
        <f>'KPI Công việc'!E25</f>
        <v/>
      </c>
      <c r="D25" s="8">
        <f>IF(AND(ISNUMBER(B25),ISNUMBER(C25)),B25*0.5+C25*0.5,"")</f>
        <v/>
      </c>
    </row>
    <row r="26">
      <c r="A26" s="7">
        <f>'Thành viên'!A26</f>
        <v/>
      </c>
      <c r="B26" s="8">
        <f>IF(COUNT('Tự đánh giá'!B26:E26)=0,"",AVERAGE('Tự đánh giá'!B26:E26))</f>
        <v/>
      </c>
      <c r="C26" s="8">
        <f>'KPI Công việc'!E26</f>
        <v/>
      </c>
      <c r="D26" s="8">
        <f>IF(AND(ISNUMBER(B26),ISNUMBER(C26)),B26*0.5+C26*0.5,"")</f>
        <v/>
      </c>
    </row>
    <row r="27">
      <c r="A27" s="7">
        <f>'Thành viên'!A27</f>
        <v/>
      </c>
      <c r="B27" s="8">
        <f>IF(COUNT('Tự đánh giá'!B27:E27)=0,"",AVERAGE('Tự đánh giá'!B27:E27))</f>
        <v/>
      </c>
      <c r="C27" s="8">
        <f>'KPI Công việc'!E27</f>
        <v/>
      </c>
      <c r="D27" s="8">
        <f>IF(AND(ISNUMBER(B27),ISNUMBER(C27)),B27*0.5+C27*0.5,"")</f>
        <v/>
      </c>
    </row>
    <row r="28">
      <c r="A28" s="7">
        <f>'Thành viên'!A28</f>
        <v/>
      </c>
      <c r="B28" s="8">
        <f>IF(COUNT('Tự đánh giá'!B28:E28)=0,"",AVERAGE('Tự đánh giá'!B28:E28))</f>
        <v/>
      </c>
      <c r="C28" s="8">
        <f>'KPI Công việc'!E28</f>
        <v/>
      </c>
      <c r="D28" s="8">
        <f>IF(AND(ISNUMBER(B28),ISNUMBER(C28)),B28*0.5+C28*0.5,"")</f>
        <v/>
      </c>
    </row>
    <row r="29">
      <c r="A29" s="7">
        <f>'Thành viên'!A29</f>
        <v/>
      </c>
      <c r="B29" s="8">
        <f>IF(COUNT('Tự đánh giá'!B29:E29)=0,"",AVERAGE('Tự đánh giá'!B29:E29))</f>
        <v/>
      </c>
      <c r="C29" s="8">
        <f>'KPI Công việc'!E29</f>
        <v/>
      </c>
      <c r="D29" s="8">
        <f>IF(AND(ISNUMBER(B29),ISNUMBER(C29)),B29*0.5+C29*0.5,"")</f>
        <v/>
      </c>
    </row>
    <row r="30">
      <c r="A30" s="7">
        <f>'Thành viên'!A30</f>
        <v/>
      </c>
      <c r="B30" s="8">
        <f>IF(COUNT('Tự đánh giá'!B30:E30)=0,"",AVERAGE('Tự đánh giá'!B30:E30))</f>
        <v/>
      </c>
      <c r="C30" s="8">
        <f>'KPI Công việc'!E30</f>
        <v/>
      </c>
      <c r="D30" s="8">
        <f>IF(AND(ISNUMBER(B30),ISNUMBER(C30)),B30*0.5+C30*0.5,"")</f>
        <v/>
      </c>
    </row>
    <row r="31">
      <c r="A31" s="7">
        <f>'Thành viên'!A31</f>
        <v/>
      </c>
      <c r="B31" s="8">
        <f>IF(COUNT('Tự đánh giá'!B31:E31)=0,"",AVERAGE('Tự đánh giá'!B31:E31))</f>
        <v/>
      </c>
      <c r="C31" s="8">
        <f>'KPI Công việc'!E31</f>
        <v/>
      </c>
      <c r="D31" s="8">
        <f>IF(AND(ISNUMBER(B31),ISNUMBER(C31)),B31*0.5+C31*0.5,"")</f>
        <v/>
      </c>
    </row>
    <row r="32">
      <c r="A32" s="7">
        <f>'Thành viên'!A32</f>
        <v/>
      </c>
      <c r="B32" s="8">
        <f>IF(COUNT('Tự đánh giá'!B32:E32)=0,"",AVERAGE('Tự đánh giá'!B32:E32))</f>
        <v/>
      </c>
      <c r="C32" s="8">
        <f>'KPI Công việc'!E32</f>
        <v/>
      </c>
      <c r="D32" s="8">
        <f>IF(AND(ISNUMBER(B32),ISNUMBER(C32)),B32*0.5+C32*0.5,"")</f>
        <v/>
      </c>
    </row>
    <row r="33">
      <c r="A33" s="7">
        <f>'Thành viên'!A33</f>
        <v/>
      </c>
      <c r="B33" s="8">
        <f>IF(COUNT('Tự đánh giá'!B33:E33)=0,"",AVERAGE('Tự đánh giá'!B33:E33))</f>
        <v/>
      </c>
      <c r="C33" s="8">
        <f>'KPI Công việc'!E33</f>
        <v/>
      </c>
      <c r="D33" s="8">
        <f>IF(AND(ISNUMBER(B33),ISNUMBER(C33)),B33*0.5+C33*0.5,"")</f>
        <v/>
      </c>
    </row>
    <row r="34">
      <c r="A34" s="7">
        <f>'Thành viên'!A34</f>
        <v/>
      </c>
      <c r="B34" s="8">
        <f>IF(COUNT('Tự đánh giá'!B34:E34)=0,"",AVERAGE('Tự đánh giá'!B34:E34))</f>
        <v/>
      </c>
      <c r="C34" s="8">
        <f>'KPI Công việc'!E34</f>
        <v/>
      </c>
      <c r="D34" s="8">
        <f>IF(AND(ISNUMBER(B34),ISNUMBER(C34)),B34*0.5+C34*0.5,"")</f>
        <v/>
      </c>
    </row>
    <row r="35">
      <c r="A35" s="7">
        <f>'Thành viên'!A35</f>
        <v/>
      </c>
      <c r="B35" s="8">
        <f>IF(COUNT('Tự đánh giá'!B35:E35)=0,"",AVERAGE('Tự đánh giá'!B35:E35))</f>
        <v/>
      </c>
      <c r="C35" s="8">
        <f>'KPI Công việc'!E35</f>
        <v/>
      </c>
      <c r="D35" s="8">
        <f>IF(AND(ISNUMBER(B35),ISNUMBER(C35)),B35*0.5+C35*0.5,"")</f>
        <v/>
      </c>
    </row>
    <row r="36">
      <c r="A36" s="7">
        <f>'Thành viên'!A36</f>
        <v/>
      </c>
      <c r="B36" s="8">
        <f>IF(COUNT('Tự đánh giá'!B36:E36)=0,"",AVERAGE('Tự đánh giá'!B36:E36))</f>
        <v/>
      </c>
      <c r="C36" s="8">
        <f>'KPI Công việc'!E36</f>
        <v/>
      </c>
      <c r="D36" s="8">
        <f>IF(AND(ISNUMBER(B36),ISNUMBER(C36)),B36*0.5+C36*0.5,"")</f>
        <v/>
      </c>
    </row>
    <row r="37">
      <c r="A37" s="7">
        <f>'Thành viên'!A37</f>
        <v/>
      </c>
      <c r="B37" s="8">
        <f>IF(COUNT('Tự đánh giá'!B37:E37)=0,"",AVERAGE('Tự đánh giá'!B37:E37))</f>
        <v/>
      </c>
      <c r="C37" s="8">
        <f>'KPI Công việc'!E37</f>
        <v/>
      </c>
      <c r="D37" s="8">
        <f>IF(AND(ISNUMBER(B37),ISNUMBER(C37)),B37*0.5+C37*0.5,"")</f>
        <v/>
      </c>
    </row>
    <row r="38">
      <c r="A38" s="7">
        <f>'Thành viên'!A38</f>
        <v/>
      </c>
      <c r="B38" s="8">
        <f>IF(COUNT('Tự đánh giá'!B38:E38)=0,"",AVERAGE('Tự đánh giá'!B38:E38))</f>
        <v/>
      </c>
      <c r="C38" s="8">
        <f>'KPI Công việc'!E38</f>
        <v/>
      </c>
      <c r="D38" s="8">
        <f>IF(AND(ISNUMBER(B38),ISNUMBER(C38)),B38*0.5+C38*0.5,"")</f>
        <v/>
      </c>
    </row>
    <row r="39">
      <c r="A39" s="7">
        <f>'Thành viên'!A39</f>
        <v/>
      </c>
      <c r="B39" s="8">
        <f>IF(COUNT('Tự đánh giá'!B39:E39)=0,"",AVERAGE('Tự đánh giá'!B39:E39))</f>
        <v/>
      </c>
      <c r="C39" s="8">
        <f>'KPI Công việc'!E39</f>
        <v/>
      </c>
      <c r="D39" s="8">
        <f>IF(AND(ISNUMBER(B39),ISNUMBER(C39)),B39*0.5+C39*0.5,"")</f>
        <v/>
      </c>
    </row>
    <row r="40">
      <c r="A40" s="7">
        <f>'Thành viên'!A40</f>
        <v/>
      </c>
      <c r="B40" s="8">
        <f>IF(COUNT('Tự đánh giá'!B40:E40)=0,"",AVERAGE('Tự đánh giá'!B40:E40))</f>
        <v/>
      </c>
      <c r="C40" s="8">
        <f>'KPI Công việc'!E40</f>
        <v/>
      </c>
      <c r="D40" s="8">
        <f>IF(AND(ISNUMBER(B40),ISNUMBER(C40)),B40*0.5+C40*0.5,"")</f>
        <v/>
      </c>
    </row>
    <row r="41">
      <c r="A41" s="7">
        <f>'Thành viên'!A41</f>
        <v/>
      </c>
      <c r="B41" s="8">
        <f>IF(COUNT('Tự đánh giá'!B41:E41)=0,"",AVERAGE('Tự đánh giá'!B41:E41))</f>
        <v/>
      </c>
      <c r="C41" s="8">
        <f>'KPI Công việc'!E41</f>
        <v/>
      </c>
      <c r="D41" s="8">
        <f>IF(AND(ISNUMBER(B41),ISNUMBER(C41)),B41*0.5+C41*0.5,"")</f>
        <v/>
      </c>
    </row>
    <row r="42">
      <c r="A42" s="7">
        <f>'Thành viên'!A42</f>
        <v/>
      </c>
      <c r="B42" s="8">
        <f>IF(COUNT('Tự đánh giá'!B42:E42)=0,"",AVERAGE('Tự đánh giá'!B42:E42))</f>
        <v/>
      </c>
      <c r="C42" s="8">
        <f>'KPI Công việc'!E42</f>
        <v/>
      </c>
      <c r="D42" s="8">
        <f>IF(AND(ISNUMBER(B42),ISNUMBER(C42)),B42*0.5+C42*0.5,"")</f>
        <v/>
      </c>
    </row>
    <row r="43">
      <c r="A43" s="7">
        <f>'Thành viên'!A43</f>
        <v/>
      </c>
      <c r="B43" s="8">
        <f>IF(COUNT('Tự đánh giá'!B43:E43)=0,"",AVERAGE('Tự đánh giá'!B43:E43))</f>
        <v/>
      </c>
      <c r="C43" s="8">
        <f>'KPI Công việc'!E43</f>
        <v/>
      </c>
      <c r="D43" s="8">
        <f>IF(AND(ISNUMBER(B43),ISNUMBER(C43)),B43*0.5+C43*0.5,"")</f>
        <v/>
      </c>
    </row>
    <row r="44">
      <c r="A44" s="7">
        <f>'Thành viên'!A44</f>
        <v/>
      </c>
      <c r="B44" s="8">
        <f>IF(COUNT('Tự đánh giá'!B44:E44)=0,"",AVERAGE('Tự đánh giá'!B44:E44))</f>
        <v/>
      </c>
      <c r="C44" s="8">
        <f>'KPI Công việc'!E44</f>
        <v/>
      </c>
      <c r="D44" s="8">
        <f>IF(AND(ISNUMBER(B44),ISNUMBER(C44)),B44*0.5+C44*0.5,"")</f>
        <v/>
      </c>
    </row>
    <row r="45">
      <c r="A45" s="7">
        <f>'Thành viên'!A45</f>
        <v/>
      </c>
      <c r="B45" s="8">
        <f>IF(COUNT('Tự đánh giá'!B45:E45)=0,"",AVERAGE('Tự đánh giá'!B45:E45))</f>
        <v/>
      </c>
      <c r="C45" s="8">
        <f>'KPI Công việc'!E45</f>
        <v/>
      </c>
      <c r="D45" s="8">
        <f>IF(AND(ISNUMBER(B45),ISNUMBER(C45)),B45*0.5+C45*0.5,"")</f>
        <v/>
      </c>
    </row>
    <row r="46">
      <c r="A46" s="7">
        <f>'Thành viên'!A46</f>
        <v/>
      </c>
      <c r="B46" s="8">
        <f>IF(COUNT('Tự đánh giá'!B46:E46)=0,"",AVERAGE('Tự đánh giá'!B46:E46))</f>
        <v/>
      </c>
      <c r="C46" s="8">
        <f>'KPI Công việc'!E46</f>
        <v/>
      </c>
      <c r="D46" s="8">
        <f>IF(AND(ISNUMBER(B46),ISNUMBER(C46)),B46*0.5+C46*0.5,"")</f>
        <v/>
      </c>
    </row>
    <row r="47">
      <c r="A47" s="7">
        <f>'Thành viên'!A47</f>
        <v/>
      </c>
      <c r="B47" s="8">
        <f>IF(COUNT('Tự đánh giá'!B47:E47)=0,"",AVERAGE('Tự đánh giá'!B47:E47))</f>
        <v/>
      </c>
      <c r="C47" s="8">
        <f>'KPI Công việc'!E47</f>
        <v/>
      </c>
      <c r="D47" s="8">
        <f>IF(AND(ISNUMBER(B47),ISNUMBER(C47)),B47*0.5+C47*0.5,"")</f>
        <v/>
      </c>
    </row>
    <row r="48">
      <c r="A48" s="7">
        <f>'Thành viên'!A48</f>
        <v/>
      </c>
      <c r="B48" s="8">
        <f>IF(COUNT('Tự đánh giá'!B48:E48)=0,"",AVERAGE('Tự đánh giá'!B48:E48))</f>
        <v/>
      </c>
      <c r="C48" s="8">
        <f>'KPI Công việc'!E48</f>
        <v/>
      </c>
      <c r="D48" s="8">
        <f>IF(AND(ISNUMBER(B48),ISNUMBER(C48)),B48*0.5+C48*0.5,"")</f>
        <v/>
      </c>
    </row>
    <row r="49">
      <c r="A49" s="7">
        <f>'Thành viên'!A49</f>
        <v/>
      </c>
      <c r="B49" s="8">
        <f>IF(COUNT('Tự đánh giá'!B49:E49)=0,"",AVERAGE('Tự đánh giá'!B49:E49))</f>
        <v/>
      </c>
      <c r="C49" s="8">
        <f>'KPI Công việc'!E49</f>
        <v/>
      </c>
      <c r="D49" s="8">
        <f>IF(AND(ISNUMBER(B49),ISNUMBER(C49)),B49*0.5+C49*0.5,"")</f>
        <v/>
      </c>
    </row>
    <row r="50">
      <c r="A50" s="7">
        <f>'Thành viên'!A50</f>
        <v/>
      </c>
      <c r="B50" s="8">
        <f>IF(COUNT('Tự đánh giá'!B50:E50)=0,"",AVERAGE('Tự đánh giá'!B50:E50))</f>
        <v/>
      </c>
      <c r="C50" s="8">
        <f>'KPI Công việc'!E50</f>
        <v/>
      </c>
      <c r="D50" s="8">
        <f>IF(AND(ISNUMBER(B50),ISNUMBER(C50)),B50*0.5+C50*0.5,"")</f>
        <v/>
      </c>
    </row>
    <row r="51">
      <c r="A51" s="7">
        <f>'Thành viên'!A51</f>
        <v/>
      </c>
      <c r="B51" s="8">
        <f>IF(COUNT('Tự đánh giá'!B51:E51)=0,"",AVERAGE('Tự đánh giá'!B51:E51))</f>
        <v/>
      </c>
      <c r="C51" s="8">
        <f>'KPI Công việc'!E51</f>
        <v/>
      </c>
      <c r="D51" s="8">
        <f>IF(AND(ISNUMBER(B51),ISNUMBER(C51)),B51*0.5+C51*0.5,"")</f>
        <v/>
      </c>
    </row>
  </sheetData>
  <conditionalFormatting sqref="D2:D51">
    <cfRule type="expression" priority="1" dxfId="0" stopIfTrue="1">
      <formula>AND(ISNUMBER(D2),D2&gt;=2.5)</formula>
    </cfRule>
    <cfRule type="expression" priority="2" dxfId="1" stopIfTrue="1">
      <formula>AND(ISNUMBER(D2),D2&gt;=2,D2&lt;2.5)</formula>
    </cfRule>
    <cfRule type="expression" priority="3" dxfId="2" stopIfTrue="1">
      <formula>AND(ISNUMBER(D2),D2&lt;2)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s>
  <sheetData>
    <row r="1" ht="28" customHeight="1">
      <c r="A1" s="1" t="inlineStr">
        <is>
          <t>Tổng quan đánh giá P2+ - Bộ phận Công nghệ</t>
        </is>
      </c>
    </row>
    <row r="3">
      <c r="A3" s="2" t="inlineStr">
        <is>
          <t>Số lượng theo mức</t>
        </is>
      </c>
    </row>
    <row r="4">
      <c r="A4" s="9" t="inlineStr">
        <is>
          <t>L1</t>
        </is>
      </c>
      <c r="B4" s="9">
        <f>COUNTIF('Thành viên'!C2:C51,"L1")</f>
        <v/>
      </c>
    </row>
    <row r="5">
      <c r="A5" s="9" t="inlineStr">
        <is>
          <t>L2</t>
        </is>
      </c>
      <c r="B5" s="9">
        <f>COUNTIF('Thành viên'!C2:C51,"L2")</f>
        <v/>
      </c>
    </row>
    <row r="6">
      <c r="A6" s="9" t="inlineStr">
        <is>
          <t>L3</t>
        </is>
      </c>
      <c r="B6" s="9">
        <f>COUNTIF('Thành viên'!C2:C51,"L3")</f>
        <v/>
      </c>
    </row>
    <row r="8">
      <c r="A8" s="2" t="inlineStr">
        <is>
          <t>Điểm trung bình phòng ban</t>
        </is>
      </c>
    </row>
    <row r="9">
      <c r="A9" s="10">
        <f>IFERROR(IF(COUNT('Điểm tổng'!D2:D51)=0,"",AVERAGE('Điểm tổng'!D2:D51)),"")</f>
        <v/>
      </c>
    </row>
    <row r="12">
      <c r="A12" s="2" t="inlineStr">
        <is>
          <t>Xuất sắc (điểm P2+ &gt;= 2.5)</t>
        </is>
      </c>
    </row>
    <row r="13">
      <c r="A13" s="11" t="inlineStr">
        <is>
          <t>Họ tên</t>
        </is>
      </c>
      <c r="B13" s="11" t="inlineStr">
        <is>
          <t>Điểm P2+ Tổng</t>
        </is>
      </c>
    </row>
    <row r="14">
      <c r="A14">
        <f>IFERROR(IF(AND(ISNUMBER('Điểm tổng'!D2),'Điểm tổng'!D2&gt;=2.5),'Điểm tổng'!A2,""),"")</f>
        <v/>
      </c>
      <c r="B14" s="12">
        <f>IFERROR(IF(AND(ISNUMBER('Điểm tổng'!D2),'Điểm tổng'!D2&gt;=2.5),'Điểm tổng'!D2,""),"")</f>
        <v/>
      </c>
    </row>
    <row r="15">
      <c r="A15">
        <f>IFERROR(IF(AND(ISNUMBER('Điểm tổng'!D3),'Điểm tổng'!D3&gt;=2.5),'Điểm tổng'!A3,""),"")</f>
        <v/>
      </c>
      <c r="B15" s="12">
        <f>IFERROR(IF(AND(ISNUMBER('Điểm tổng'!D3),'Điểm tổng'!D3&gt;=2.5),'Điểm tổng'!D3,""),"")</f>
        <v/>
      </c>
    </row>
    <row r="16">
      <c r="A16">
        <f>IFERROR(IF(AND(ISNUMBER('Điểm tổng'!D4),'Điểm tổng'!D4&gt;=2.5),'Điểm tổng'!A4,""),"")</f>
        <v/>
      </c>
      <c r="B16" s="12">
        <f>IFERROR(IF(AND(ISNUMBER('Điểm tổng'!D4),'Điểm tổng'!D4&gt;=2.5),'Điểm tổng'!D4,""),"")</f>
        <v/>
      </c>
    </row>
    <row r="17">
      <c r="A17">
        <f>IFERROR(IF(AND(ISNUMBER('Điểm tổng'!D5),'Điểm tổng'!D5&gt;=2.5),'Điểm tổng'!A5,""),"")</f>
        <v/>
      </c>
      <c r="B17" s="12">
        <f>IFERROR(IF(AND(ISNUMBER('Điểm tổng'!D5),'Điểm tổng'!D5&gt;=2.5),'Điểm tổng'!D5,""),"")</f>
        <v/>
      </c>
    </row>
    <row r="18">
      <c r="A18">
        <f>IFERROR(IF(AND(ISNUMBER('Điểm tổng'!D6),'Điểm tổng'!D6&gt;=2.5),'Điểm tổng'!A6,""),"")</f>
        <v/>
      </c>
      <c r="B18" s="12">
        <f>IFERROR(IF(AND(ISNUMBER('Điểm tổng'!D6),'Điểm tổng'!D6&gt;=2.5),'Điểm tổng'!D6,""),"")</f>
        <v/>
      </c>
    </row>
    <row r="19">
      <c r="A19">
        <f>IFERROR(IF(AND(ISNUMBER('Điểm tổng'!D7),'Điểm tổng'!D7&gt;=2.5),'Điểm tổng'!A7,""),"")</f>
        <v/>
      </c>
      <c r="B19" s="12">
        <f>IFERROR(IF(AND(ISNUMBER('Điểm tổng'!D7),'Điểm tổng'!D7&gt;=2.5),'Điểm tổng'!D7,""),"")</f>
        <v/>
      </c>
    </row>
    <row r="20">
      <c r="A20">
        <f>IFERROR(IF(AND(ISNUMBER('Điểm tổng'!D8),'Điểm tổng'!D8&gt;=2.5),'Điểm tổng'!A8,""),"")</f>
        <v/>
      </c>
      <c r="B20" s="12">
        <f>IFERROR(IF(AND(ISNUMBER('Điểm tổng'!D8),'Điểm tổng'!D8&gt;=2.5),'Điểm tổng'!D8,""),"")</f>
        <v/>
      </c>
    </row>
    <row r="21">
      <c r="A21">
        <f>IFERROR(IF(AND(ISNUMBER('Điểm tổng'!D9),'Điểm tổng'!D9&gt;=2.5),'Điểm tổng'!A9,""),"")</f>
        <v/>
      </c>
      <c r="B21" s="12">
        <f>IFERROR(IF(AND(ISNUMBER('Điểm tổng'!D9),'Điểm tổng'!D9&gt;=2.5),'Điểm tổng'!D9,""),"")</f>
        <v/>
      </c>
    </row>
    <row r="22">
      <c r="A22">
        <f>IFERROR(IF(AND(ISNUMBER('Điểm tổng'!D10),'Điểm tổng'!D10&gt;=2.5),'Điểm tổng'!A10,""),"")</f>
        <v/>
      </c>
      <c r="B22" s="12">
        <f>IFERROR(IF(AND(ISNUMBER('Điểm tổng'!D10),'Điểm tổng'!D10&gt;=2.5),'Điểm tổng'!D10,""),"")</f>
        <v/>
      </c>
    </row>
    <row r="23">
      <c r="A23">
        <f>IFERROR(IF(AND(ISNUMBER('Điểm tổng'!D11),'Điểm tổng'!D11&gt;=2.5),'Điểm tổng'!A11,""),"")</f>
        <v/>
      </c>
      <c r="B23" s="12">
        <f>IFERROR(IF(AND(ISNUMBER('Điểm tổng'!D11),'Điểm tổng'!D11&gt;=2.5),'Điểm tổng'!D11,""),"")</f>
        <v/>
      </c>
    </row>
    <row r="24">
      <c r="A24">
        <f>IFERROR(IF(AND(ISNUMBER('Điểm tổng'!D12),'Điểm tổng'!D12&gt;=2.5),'Điểm tổng'!A12,""),"")</f>
        <v/>
      </c>
      <c r="B24" s="12">
        <f>IFERROR(IF(AND(ISNUMBER('Điểm tổng'!D12),'Điểm tổng'!D12&gt;=2.5),'Điểm tổng'!D12,""),"")</f>
        <v/>
      </c>
    </row>
    <row r="25">
      <c r="A25">
        <f>IFERROR(IF(AND(ISNUMBER('Điểm tổng'!D13),'Điểm tổng'!D13&gt;=2.5),'Điểm tổng'!A13,""),"")</f>
        <v/>
      </c>
      <c r="B25" s="12">
        <f>IFERROR(IF(AND(ISNUMBER('Điểm tổng'!D13),'Điểm tổng'!D13&gt;=2.5),'Điểm tổng'!D13,""),"")</f>
        <v/>
      </c>
    </row>
    <row r="26">
      <c r="A26">
        <f>IFERROR(IF(AND(ISNUMBER('Điểm tổng'!D14),'Điểm tổng'!D14&gt;=2.5),'Điểm tổng'!A14,""),"")</f>
        <v/>
      </c>
      <c r="B26" s="12">
        <f>IFERROR(IF(AND(ISNUMBER('Điểm tổng'!D14),'Điểm tổng'!D14&gt;=2.5),'Điểm tổng'!D14,""),"")</f>
        <v/>
      </c>
    </row>
    <row r="27">
      <c r="A27">
        <f>IFERROR(IF(AND(ISNUMBER('Điểm tổng'!D15),'Điểm tổng'!D15&gt;=2.5),'Điểm tổng'!A15,""),"")</f>
        <v/>
      </c>
      <c r="B27" s="12">
        <f>IFERROR(IF(AND(ISNUMBER('Điểm tổng'!D15),'Điểm tổng'!D15&gt;=2.5),'Điểm tổng'!D15,""),"")</f>
        <v/>
      </c>
    </row>
    <row r="28">
      <c r="A28">
        <f>IFERROR(IF(AND(ISNUMBER('Điểm tổng'!D16),'Điểm tổng'!D16&gt;=2.5),'Điểm tổng'!A16,""),"")</f>
        <v/>
      </c>
      <c r="B28" s="12">
        <f>IFERROR(IF(AND(ISNUMBER('Điểm tổng'!D16),'Điểm tổng'!D16&gt;=2.5),'Điểm tổng'!D16,""),"")</f>
        <v/>
      </c>
    </row>
    <row r="29">
      <c r="A29">
        <f>IFERROR(IF(AND(ISNUMBER('Điểm tổng'!D17),'Điểm tổng'!D17&gt;=2.5),'Điểm tổng'!A17,""),"")</f>
        <v/>
      </c>
      <c r="B29" s="12">
        <f>IFERROR(IF(AND(ISNUMBER('Điểm tổng'!D17),'Điểm tổng'!D17&gt;=2.5),'Điểm tổng'!D17,""),"")</f>
        <v/>
      </c>
    </row>
    <row r="30">
      <c r="A30">
        <f>IFERROR(IF(AND(ISNUMBER('Điểm tổng'!D18),'Điểm tổng'!D18&gt;=2.5),'Điểm tổng'!A18,""),"")</f>
        <v/>
      </c>
      <c r="B30" s="12">
        <f>IFERROR(IF(AND(ISNUMBER('Điểm tổng'!D18),'Điểm tổng'!D18&gt;=2.5),'Điểm tổng'!D18,""),"")</f>
        <v/>
      </c>
    </row>
    <row r="31">
      <c r="A31">
        <f>IFERROR(IF(AND(ISNUMBER('Điểm tổng'!D19),'Điểm tổng'!D19&gt;=2.5),'Điểm tổng'!A19,""),"")</f>
        <v/>
      </c>
      <c r="B31" s="12">
        <f>IFERROR(IF(AND(ISNUMBER('Điểm tổng'!D19),'Điểm tổng'!D19&gt;=2.5),'Điểm tổng'!D19,""),"")</f>
        <v/>
      </c>
    </row>
    <row r="32">
      <c r="A32">
        <f>IFERROR(IF(AND(ISNUMBER('Điểm tổng'!D20),'Điểm tổng'!D20&gt;=2.5),'Điểm tổng'!A20,""),"")</f>
        <v/>
      </c>
      <c r="B32" s="12">
        <f>IFERROR(IF(AND(ISNUMBER('Điểm tổng'!D20),'Điểm tổng'!D20&gt;=2.5),'Điểm tổng'!D20,""),"")</f>
        <v/>
      </c>
    </row>
    <row r="33">
      <c r="A33">
        <f>IFERROR(IF(AND(ISNUMBER('Điểm tổng'!D21),'Điểm tổng'!D21&gt;=2.5),'Điểm tổng'!A21,""),"")</f>
        <v/>
      </c>
      <c r="B33" s="12">
        <f>IFERROR(IF(AND(ISNUMBER('Điểm tổng'!D21),'Điểm tổng'!D21&gt;=2.5),'Điểm tổng'!D21,""),"")</f>
        <v/>
      </c>
    </row>
    <row r="34">
      <c r="A34">
        <f>IFERROR(IF(AND(ISNUMBER('Điểm tổng'!D22),'Điểm tổng'!D22&gt;=2.5),'Điểm tổng'!A22,""),"")</f>
        <v/>
      </c>
      <c r="B34" s="12">
        <f>IFERROR(IF(AND(ISNUMBER('Điểm tổng'!D22),'Điểm tổng'!D22&gt;=2.5),'Điểm tổng'!D22,""),"")</f>
        <v/>
      </c>
    </row>
    <row r="35">
      <c r="A35">
        <f>IFERROR(IF(AND(ISNUMBER('Điểm tổng'!D23),'Điểm tổng'!D23&gt;=2.5),'Điểm tổng'!A23,""),"")</f>
        <v/>
      </c>
      <c r="B35" s="12">
        <f>IFERROR(IF(AND(ISNUMBER('Điểm tổng'!D23),'Điểm tổng'!D23&gt;=2.5),'Điểm tổng'!D23,""),"")</f>
        <v/>
      </c>
    </row>
    <row r="36">
      <c r="A36">
        <f>IFERROR(IF(AND(ISNUMBER('Điểm tổng'!D24),'Điểm tổng'!D24&gt;=2.5),'Điểm tổng'!A24,""),"")</f>
        <v/>
      </c>
      <c r="B36" s="12">
        <f>IFERROR(IF(AND(ISNUMBER('Điểm tổng'!D24),'Điểm tổng'!D24&gt;=2.5),'Điểm tổng'!D24,""),"")</f>
        <v/>
      </c>
    </row>
    <row r="37">
      <c r="A37">
        <f>IFERROR(IF(AND(ISNUMBER('Điểm tổng'!D25),'Điểm tổng'!D25&gt;=2.5),'Điểm tổng'!A25,""),"")</f>
        <v/>
      </c>
      <c r="B37" s="12">
        <f>IFERROR(IF(AND(ISNUMBER('Điểm tổng'!D25),'Điểm tổng'!D25&gt;=2.5),'Điểm tổng'!D25,""),"")</f>
        <v/>
      </c>
    </row>
    <row r="38">
      <c r="A38">
        <f>IFERROR(IF(AND(ISNUMBER('Điểm tổng'!D26),'Điểm tổng'!D26&gt;=2.5),'Điểm tổng'!A26,""),"")</f>
        <v/>
      </c>
      <c r="B38" s="12">
        <f>IFERROR(IF(AND(ISNUMBER('Điểm tổng'!D26),'Điểm tổng'!D26&gt;=2.5),'Điểm tổng'!D26,""),"")</f>
        <v/>
      </c>
    </row>
    <row r="39">
      <c r="A39">
        <f>IFERROR(IF(AND(ISNUMBER('Điểm tổng'!D27),'Điểm tổng'!D27&gt;=2.5),'Điểm tổng'!A27,""),"")</f>
        <v/>
      </c>
      <c r="B39" s="12">
        <f>IFERROR(IF(AND(ISNUMBER('Điểm tổng'!D27),'Điểm tổng'!D27&gt;=2.5),'Điểm tổng'!D27,""),"")</f>
        <v/>
      </c>
    </row>
    <row r="40">
      <c r="A40">
        <f>IFERROR(IF(AND(ISNUMBER('Điểm tổng'!D28),'Điểm tổng'!D28&gt;=2.5),'Điểm tổng'!A28,""),"")</f>
        <v/>
      </c>
      <c r="B40" s="12">
        <f>IFERROR(IF(AND(ISNUMBER('Điểm tổng'!D28),'Điểm tổng'!D28&gt;=2.5),'Điểm tổng'!D28,""),"")</f>
        <v/>
      </c>
    </row>
    <row r="41">
      <c r="A41">
        <f>IFERROR(IF(AND(ISNUMBER('Điểm tổng'!D29),'Điểm tổng'!D29&gt;=2.5),'Điểm tổng'!A29,""),"")</f>
        <v/>
      </c>
      <c r="B41" s="12">
        <f>IFERROR(IF(AND(ISNUMBER('Điểm tổng'!D29),'Điểm tổng'!D29&gt;=2.5),'Điểm tổng'!D29,""),"")</f>
        <v/>
      </c>
    </row>
    <row r="42">
      <c r="A42">
        <f>IFERROR(IF(AND(ISNUMBER('Điểm tổng'!D30),'Điểm tổng'!D30&gt;=2.5),'Điểm tổng'!A30,""),"")</f>
        <v/>
      </c>
      <c r="B42" s="12">
        <f>IFERROR(IF(AND(ISNUMBER('Điểm tổng'!D30),'Điểm tổng'!D30&gt;=2.5),'Điểm tổng'!D30,""),"")</f>
        <v/>
      </c>
    </row>
    <row r="43">
      <c r="A43">
        <f>IFERROR(IF(AND(ISNUMBER('Điểm tổng'!D31),'Điểm tổng'!D31&gt;=2.5),'Điểm tổng'!A31,""),"")</f>
        <v/>
      </c>
      <c r="B43" s="12">
        <f>IFERROR(IF(AND(ISNUMBER('Điểm tổng'!D31),'Điểm tổng'!D31&gt;=2.5),'Điểm tổng'!D31,""),"")</f>
        <v/>
      </c>
    </row>
    <row r="44">
      <c r="A44">
        <f>IFERROR(IF(AND(ISNUMBER('Điểm tổng'!D32),'Điểm tổng'!D32&gt;=2.5),'Điểm tổng'!A32,""),"")</f>
        <v/>
      </c>
      <c r="B44" s="12">
        <f>IFERROR(IF(AND(ISNUMBER('Điểm tổng'!D32),'Điểm tổng'!D32&gt;=2.5),'Điểm tổng'!D32,""),"")</f>
        <v/>
      </c>
    </row>
    <row r="45">
      <c r="A45">
        <f>IFERROR(IF(AND(ISNUMBER('Điểm tổng'!D33),'Điểm tổng'!D33&gt;=2.5),'Điểm tổng'!A33,""),"")</f>
        <v/>
      </c>
      <c r="B45" s="12">
        <f>IFERROR(IF(AND(ISNUMBER('Điểm tổng'!D33),'Điểm tổng'!D33&gt;=2.5),'Điểm tổng'!D33,""),"")</f>
        <v/>
      </c>
    </row>
    <row r="46">
      <c r="A46">
        <f>IFERROR(IF(AND(ISNUMBER('Điểm tổng'!D34),'Điểm tổng'!D34&gt;=2.5),'Điểm tổng'!A34,""),"")</f>
        <v/>
      </c>
      <c r="B46" s="12">
        <f>IFERROR(IF(AND(ISNUMBER('Điểm tổng'!D34),'Điểm tổng'!D34&gt;=2.5),'Điểm tổng'!D34,""),"")</f>
        <v/>
      </c>
    </row>
    <row r="47">
      <c r="A47">
        <f>IFERROR(IF(AND(ISNUMBER('Điểm tổng'!D35),'Điểm tổng'!D35&gt;=2.5),'Điểm tổng'!A35,""),"")</f>
        <v/>
      </c>
      <c r="B47" s="12">
        <f>IFERROR(IF(AND(ISNUMBER('Điểm tổng'!D35),'Điểm tổng'!D35&gt;=2.5),'Điểm tổng'!D35,""),"")</f>
        <v/>
      </c>
    </row>
    <row r="48">
      <c r="A48">
        <f>IFERROR(IF(AND(ISNUMBER('Điểm tổng'!D36),'Điểm tổng'!D36&gt;=2.5),'Điểm tổng'!A36,""),"")</f>
        <v/>
      </c>
      <c r="B48" s="12">
        <f>IFERROR(IF(AND(ISNUMBER('Điểm tổng'!D36),'Điểm tổng'!D36&gt;=2.5),'Điểm tổng'!D36,""),"")</f>
        <v/>
      </c>
    </row>
    <row r="49">
      <c r="A49">
        <f>IFERROR(IF(AND(ISNUMBER('Điểm tổng'!D37),'Điểm tổng'!D37&gt;=2.5),'Điểm tổng'!A37,""),"")</f>
        <v/>
      </c>
      <c r="B49" s="12">
        <f>IFERROR(IF(AND(ISNUMBER('Điểm tổng'!D37),'Điểm tổng'!D37&gt;=2.5),'Điểm tổng'!D37,""),"")</f>
        <v/>
      </c>
    </row>
    <row r="50">
      <c r="A50">
        <f>IFERROR(IF(AND(ISNUMBER('Điểm tổng'!D38),'Điểm tổng'!D38&gt;=2.5),'Điểm tổng'!A38,""),"")</f>
        <v/>
      </c>
      <c r="B50" s="12">
        <f>IFERROR(IF(AND(ISNUMBER('Điểm tổng'!D38),'Điểm tổng'!D38&gt;=2.5),'Điểm tổng'!D38,""),"")</f>
        <v/>
      </c>
    </row>
    <row r="51">
      <c r="A51">
        <f>IFERROR(IF(AND(ISNUMBER('Điểm tổng'!D39),'Điểm tổng'!D39&gt;=2.5),'Điểm tổng'!A39,""),"")</f>
        <v/>
      </c>
      <c r="B51" s="12">
        <f>IFERROR(IF(AND(ISNUMBER('Điểm tổng'!D39),'Điểm tổng'!D39&gt;=2.5),'Điểm tổng'!D39,""),"")</f>
        <v/>
      </c>
    </row>
    <row r="52">
      <c r="A52">
        <f>IFERROR(IF(AND(ISNUMBER('Điểm tổng'!D40),'Điểm tổng'!D40&gt;=2.5),'Điểm tổng'!A40,""),"")</f>
        <v/>
      </c>
      <c r="B52" s="12">
        <f>IFERROR(IF(AND(ISNUMBER('Điểm tổng'!D40),'Điểm tổng'!D40&gt;=2.5),'Điểm tổng'!D40,""),"")</f>
        <v/>
      </c>
    </row>
    <row r="53">
      <c r="A53">
        <f>IFERROR(IF(AND(ISNUMBER('Điểm tổng'!D41),'Điểm tổng'!D41&gt;=2.5),'Điểm tổng'!A41,""),"")</f>
        <v/>
      </c>
      <c r="B53" s="12">
        <f>IFERROR(IF(AND(ISNUMBER('Điểm tổng'!D41),'Điểm tổng'!D41&gt;=2.5),'Điểm tổng'!D41,""),"")</f>
        <v/>
      </c>
    </row>
    <row r="54">
      <c r="A54">
        <f>IFERROR(IF(AND(ISNUMBER('Điểm tổng'!D42),'Điểm tổng'!D42&gt;=2.5),'Điểm tổng'!A42,""),"")</f>
        <v/>
      </c>
      <c r="B54" s="12">
        <f>IFERROR(IF(AND(ISNUMBER('Điểm tổng'!D42),'Điểm tổng'!D42&gt;=2.5),'Điểm tổng'!D42,""),"")</f>
        <v/>
      </c>
    </row>
    <row r="55">
      <c r="A55">
        <f>IFERROR(IF(AND(ISNUMBER('Điểm tổng'!D43),'Điểm tổng'!D43&gt;=2.5),'Điểm tổng'!A43,""),"")</f>
        <v/>
      </c>
      <c r="B55" s="12">
        <f>IFERROR(IF(AND(ISNUMBER('Điểm tổng'!D43),'Điểm tổng'!D43&gt;=2.5),'Điểm tổng'!D43,""),"")</f>
        <v/>
      </c>
    </row>
    <row r="56">
      <c r="A56">
        <f>IFERROR(IF(AND(ISNUMBER('Điểm tổng'!D44),'Điểm tổng'!D44&gt;=2.5),'Điểm tổng'!A44,""),"")</f>
        <v/>
      </c>
      <c r="B56" s="12">
        <f>IFERROR(IF(AND(ISNUMBER('Điểm tổng'!D44),'Điểm tổng'!D44&gt;=2.5),'Điểm tổng'!D44,""),"")</f>
        <v/>
      </c>
    </row>
    <row r="57">
      <c r="A57">
        <f>IFERROR(IF(AND(ISNUMBER('Điểm tổng'!D45),'Điểm tổng'!D45&gt;=2.5),'Điểm tổng'!A45,""),"")</f>
        <v/>
      </c>
      <c r="B57" s="12">
        <f>IFERROR(IF(AND(ISNUMBER('Điểm tổng'!D45),'Điểm tổng'!D45&gt;=2.5),'Điểm tổng'!D45,""),"")</f>
        <v/>
      </c>
    </row>
    <row r="58">
      <c r="A58">
        <f>IFERROR(IF(AND(ISNUMBER('Điểm tổng'!D46),'Điểm tổng'!D46&gt;=2.5),'Điểm tổng'!A46,""),"")</f>
        <v/>
      </c>
      <c r="B58" s="12">
        <f>IFERROR(IF(AND(ISNUMBER('Điểm tổng'!D46),'Điểm tổng'!D46&gt;=2.5),'Điểm tổng'!D46,""),"")</f>
        <v/>
      </c>
    </row>
    <row r="59">
      <c r="A59">
        <f>IFERROR(IF(AND(ISNUMBER('Điểm tổng'!D47),'Điểm tổng'!D47&gt;=2.5),'Điểm tổng'!A47,""),"")</f>
        <v/>
      </c>
      <c r="B59" s="12">
        <f>IFERROR(IF(AND(ISNUMBER('Điểm tổng'!D47),'Điểm tổng'!D47&gt;=2.5),'Điểm tổng'!D47,""),"")</f>
        <v/>
      </c>
    </row>
    <row r="60">
      <c r="A60">
        <f>IFERROR(IF(AND(ISNUMBER('Điểm tổng'!D48),'Điểm tổng'!D48&gt;=2.5),'Điểm tổng'!A48,""),"")</f>
        <v/>
      </c>
      <c r="B60" s="12">
        <f>IFERROR(IF(AND(ISNUMBER('Điểm tổng'!D48),'Điểm tổng'!D48&gt;=2.5),'Điểm tổng'!D48,""),"")</f>
        <v/>
      </c>
    </row>
    <row r="61">
      <c r="A61">
        <f>IFERROR(IF(AND(ISNUMBER('Điểm tổng'!D49),'Điểm tổng'!D49&gt;=2.5),'Điểm tổng'!A49,""),"")</f>
        <v/>
      </c>
      <c r="B61" s="12">
        <f>IFERROR(IF(AND(ISNUMBER('Điểm tổng'!D49),'Điểm tổng'!D49&gt;=2.5),'Điểm tổng'!D49,""),"")</f>
        <v/>
      </c>
    </row>
    <row r="62">
      <c r="A62">
        <f>IFERROR(IF(AND(ISNUMBER('Điểm tổng'!D50),'Điểm tổng'!D50&gt;=2.5),'Điểm tổng'!A50,""),"")</f>
        <v/>
      </c>
      <c r="B62" s="12">
        <f>IFERROR(IF(AND(ISNUMBER('Điểm tổng'!D50),'Điểm tổng'!D50&gt;=2.5),'Điểm tổng'!D50,""),"")</f>
        <v/>
      </c>
    </row>
    <row r="63">
      <c r="A63">
        <f>IFERROR(IF(AND(ISNUMBER('Điểm tổng'!D51),'Điểm tổng'!D51&gt;=2.5),'Điểm tổng'!A51,""),"")</f>
        <v/>
      </c>
      <c r="B63" s="12">
        <f>IFERROR(IF(AND(ISNUMBER('Điểm tổng'!D51),'Điểm tổng'!D51&gt;=2.5),'Điểm tổng'!D51,""),"")</f>
        <v/>
      </c>
    </row>
    <row r="66">
      <c r="A66" s="2" t="inlineStr">
        <is>
          <t>Cần cải thiện (điểm P2+ &lt; 2.0)</t>
        </is>
      </c>
    </row>
    <row r="67">
      <c r="A67" s="11" t="inlineStr">
        <is>
          <t>Họ tên</t>
        </is>
      </c>
      <c r="B67" s="11" t="inlineStr">
        <is>
          <t>Điểm P2+ Tổng</t>
        </is>
      </c>
    </row>
    <row r="68">
      <c r="A68">
        <f>IFERROR(IF(AND(ISNUMBER('Điểm tổng'!D2),'Điểm tổng'!D2&lt;2),'Điểm tổng'!A2,""),"")</f>
        <v/>
      </c>
      <c r="B68" s="12">
        <f>IFERROR(IF(AND(ISNUMBER('Điểm tổng'!D2),'Điểm tổng'!D2&lt;2),'Điểm tổng'!D2,""),"")</f>
        <v/>
      </c>
    </row>
    <row r="69">
      <c r="A69">
        <f>IFERROR(IF(AND(ISNUMBER('Điểm tổng'!D3),'Điểm tổng'!D3&lt;2),'Điểm tổng'!A3,""),"")</f>
        <v/>
      </c>
      <c r="B69" s="12">
        <f>IFERROR(IF(AND(ISNUMBER('Điểm tổng'!D3),'Điểm tổng'!D3&lt;2),'Điểm tổng'!D3,""),"")</f>
        <v/>
      </c>
    </row>
    <row r="70">
      <c r="A70">
        <f>IFERROR(IF(AND(ISNUMBER('Điểm tổng'!D4),'Điểm tổng'!D4&lt;2),'Điểm tổng'!A4,""),"")</f>
        <v/>
      </c>
      <c r="B70" s="12">
        <f>IFERROR(IF(AND(ISNUMBER('Điểm tổng'!D4),'Điểm tổng'!D4&lt;2),'Điểm tổng'!D4,""),"")</f>
        <v/>
      </c>
    </row>
    <row r="71">
      <c r="A71">
        <f>IFERROR(IF(AND(ISNUMBER('Điểm tổng'!D5),'Điểm tổng'!D5&lt;2),'Điểm tổng'!A5,""),"")</f>
        <v/>
      </c>
      <c r="B71" s="12">
        <f>IFERROR(IF(AND(ISNUMBER('Điểm tổng'!D5),'Điểm tổng'!D5&lt;2),'Điểm tổng'!D5,""),"")</f>
        <v/>
      </c>
    </row>
    <row r="72">
      <c r="A72">
        <f>IFERROR(IF(AND(ISNUMBER('Điểm tổng'!D6),'Điểm tổng'!D6&lt;2),'Điểm tổng'!A6,""),"")</f>
        <v/>
      </c>
      <c r="B72" s="12">
        <f>IFERROR(IF(AND(ISNUMBER('Điểm tổng'!D6),'Điểm tổng'!D6&lt;2),'Điểm tổng'!D6,""),"")</f>
        <v/>
      </c>
    </row>
    <row r="73">
      <c r="A73">
        <f>IFERROR(IF(AND(ISNUMBER('Điểm tổng'!D7),'Điểm tổng'!D7&lt;2),'Điểm tổng'!A7,""),"")</f>
        <v/>
      </c>
      <c r="B73" s="12">
        <f>IFERROR(IF(AND(ISNUMBER('Điểm tổng'!D7),'Điểm tổng'!D7&lt;2),'Điểm tổng'!D7,""),"")</f>
        <v/>
      </c>
    </row>
    <row r="74">
      <c r="A74">
        <f>IFERROR(IF(AND(ISNUMBER('Điểm tổng'!D8),'Điểm tổng'!D8&lt;2),'Điểm tổng'!A8,""),"")</f>
        <v/>
      </c>
      <c r="B74" s="12">
        <f>IFERROR(IF(AND(ISNUMBER('Điểm tổng'!D8),'Điểm tổng'!D8&lt;2),'Điểm tổng'!D8,""),"")</f>
        <v/>
      </c>
    </row>
    <row r="75">
      <c r="A75">
        <f>IFERROR(IF(AND(ISNUMBER('Điểm tổng'!D9),'Điểm tổng'!D9&lt;2),'Điểm tổng'!A9,""),"")</f>
        <v/>
      </c>
      <c r="B75" s="12">
        <f>IFERROR(IF(AND(ISNUMBER('Điểm tổng'!D9),'Điểm tổng'!D9&lt;2),'Điểm tổng'!D9,""),"")</f>
        <v/>
      </c>
    </row>
    <row r="76">
      <c r="A76">
        <f>IFERROR(IF(AND(ISNUMBER('Điểm tổng'!D10),'Điểm tổng'!D10&lt;2),'Điểm tổng'!A10,""),"")</f>
        <v/>
      </c>
      <c r="B76" s="12">
        <f>IFERROR(IF(AND(ISNUMBER('Điểm tổng'!D10),'Điểm tổng'!D10&lt;2),'Điểm tổng'!D10,""),"")</f>
        <v/>
      </c>
    </row>
    <row r="77">
      <c r="A77">
        <f>IFERROR(IF(AND(ISNUMBER('Điểm tổng'!D11),'Điểm tổng'!D11&lt;2),'Điểm tổng'!A11,""),"")</f>
        <v/>
      </c>
      <c r="B77" s="12">
        <f>IFERROR(IF(AND(ISNUMBER('Điểm tổng'!D11),'Điểm tổng'!D11&lt;2),'Điểm tổng'!D11,""),"")</f>
        <v/>
      </c>
    </row>
    <row r="78">
      <c r="A78">
        <f>IFERROR(IF(AND(ISNUMBER('Điểm tổng'!D12),'Điểm tổng'!D12&lt;2),'Điểm tổng'!A12,""),"")</f>
        <v/>
      </c>
      <c r="B78" s="12">
        <f>IFERROR(IF(AND(ISNUMBER('Điểm tổng'!D12),'Điểm tổng'!D12&lt;2),'Điểm tổng'!D12,""),"")</f>
        <v/>
      </c>
    </row>
    <row r="79">
      <c r="A79">
        <f>IFERROR(IF(AND(ISNUMBER('Điểm tổng'!D13),'Điểm tổng'!D13&lt;2),'Điểm tổng'!A13,""),"")</f>
        <v/>
      </c>
      <c r="B79" s="12">
        <f>IFERROR(IF(AND(ISNUMBER('Điểm tổng'!D13),'Điểm tổng'!D13&lt;2),'Điểm tổng'!D13,""),"")</f>
        <v/>
      </c>
    </row>
    <row r="80">
      <c r="A80">
        <f>IFERROR(IF(AND(ISNUMBER('Điểm tổng'!D14),'Điểm tổng'!D14&lt;2),'Điểm tổng'!A14,""),"")</f>
        <v/>
      </c>
      <c r="B80" s="12">
        <f>IFERROR(IF(AND(ISNUMBER('Điểm tổng'!D14),'Điểm tổng'!D14&lt;2),'Điểm tổng'!D14,""),"")</f>
        <v/>
      </c>
    </row>
    <row r="81">
      <c r="A81">
        <f>IFERROR(IF(AND(ISNUMBER('Điểm tổng'!D15),'Điểm tổng'!D15&lt;2),'Điểm tổng'!A15,""),"")</f>
        <v/>
      </c>
      <c r="B81" s="12">
        <f>IFERROR(IF(AND(ISNUMBER('Điểm tổng'!D15),'Điểm tổng'!D15&lt;2),'Điểm tổng'!D15,""),"")</f>
        <v/>
      </c>
    </row>
    <row r="82">
      <c r="A82">
        <f>IFERROR(IF(AND(ISNUMBER('Điểm tổng'!D16),'Điểm tổng'!D16&lt;2),'Điểm tổng'!A16,""),"")</f>
        <v/>
      </c>
      <c r="B82" s="12">
        <f>IFERROR(IF(AND(ISNUMBER('Điểm tổng'!D16),'Điểm tổng'!D16&lt;2),'Điểm tổng'!D16,""),"")</f>
        <v/>
      </c>
    </row>
    <row r="83">
      <c r="A83">
        <f>IFERROR(IF(AND(ISNUMBER('Điểm tổng'!D17),'Điểm tổng'!D17&lt;2),'Điểm tổng'!A17,""),"")</f>
        <v/>
      </c>
      <c r="B83" s="12">
        <f>IFERROR(IF(AND(ISNUMBER('Điểm tổng'!D17),'Điểm tổng'!D17&lt;2),'Điểm tổng'!D17,""),"")</f>
        <v/>
      </c>
    </row>
    <row r="84">
      <c r="A84">
        <f>IFERROR(IF(AND(ISNUMBER('Điểm tổng'!D18),'Điểm tổng'!D18&lt;2),'Điểm tổng'!A18,""),"")</f>
        <v/>
      </c>
      <c r="B84" s="12">
        <f>IFERROR(IF(AND(ISNUMBER('Điểm tổng'!D18),'Điểm tổng'!D18&lt;2),'Điểm tổng'!D18,""),"")</f>
        <v/>
      </c>
    </row>
    <row r="85">
      <c r="A85">
        <f>IFERROR(IF(AND(ISNUMBER('Điểm tổng'!D19),'Điểm tổng'!D19&lt;2),'Điểm tổng'!A19,""),"")</f>
        <v/>
      </c>
      <c r="B85" s="12">
        <f>IFERROR(IF(AND(ISNUMBER('Điểm tổng'!D19),'Điểm tổng'!D19&lt;2),'Điểm tổng'!D19,""),"")</f>
        <v/>
      </c>
    </row>
    <row r="86">
      <c r="A86">
        <f>IFERROR(IF(AND(ISNUMBER('Điểm tổng'!D20),'Điểm tổng'!D20&lt;2),'Điểm tổng'!A20,""),"")</f>
        <v/>
      </c>
      <c r="B86" s="12">
        <f>IFERROR(IF(AND(ISNUMBER('Điểm tổng'!D20),'Điểm tổng'!D20&lt;2),'Điểm tổng'!D20,""),"")</f>
        <v/>
      </c>
    </row>
    <row r="87">
      <c r="A87">
        <f>IFERROR(IF(AND(ISNUMBER('Điểm tổng'!D21),'Điểm tổng'!D21&lt;2),'Điểm tổng'!A21,""),"")</f>
        <v/>
      </c>
      <c r="B87" s="12">
        <f>IFERROR(IF(AND(ISNUMBER('Điểm tổng'!D21),'Điểm tổng'!D21&lt;2),'Điểm tổng'!D21,""),"")</f>
        <v/>
      </c>
    </row>
    <row r="88">
      <c r="A88">
        <f>IFERROR(IF(AND(ISNUMBER('Điểm tổng'!D22),'Điểm tổng'!D22&lt;2),'Điểm tổng'!A22,""),"")</f>
        <v/>
      </c>
      <c r="B88" s="12">
        <f>IFERROR(IF(AND(ISNUMBER('Điểm tổng'!D22),'Điểm tổng'!D22&lt;2),'Điểm tổng'!D22,""),"")</f>
        <v/>
      </c>
    </row>
    <row r="89">
      <c r="A89">
        <f>IFERROR(IF(AND(ISNUMBER('Điểm tổng'!D23),'Điểm tổng'!D23&lt;2),'Điểm tổng'!A23,""),"")</f>
        <v/>
      </c>
      <c r="B89" s="12">
        <f>IFERROR(IF(AND(ISNUMBER('Điểm tổng'!D23),'Điểm tổng'!D23&lt;2),'Điểm tổng'!D23,""),"")</f>
        <v/>
      </c>
    </row>
    <row r="90">
      <c r="A90">
        <f>IFERROR(IF(AND(ISNUMBER('Điểm tổng'!D24),'Điểm tổng'!D24&lt;2),'Điểm tổng'!A24,""),"")</f>
        <v/>
      </c>
      <c r="B90" s="12">
        <f>IFERROR(IF(AND(ISNUMBER('Điểm tổng'!D24),'Điểm tổng'!D24&lt;2),'Điểm tổng'!D24,""),"")</f>
        <v/>
      </c>
    </row>
    <row r="91">
      <c r="A91">
        <f>IFERROR(IF(AND(ISNUMBER('Điểm tổng'!D25),'Điểm tổng'!D25&lt;2),'Điểm tổng'!A25,""),"")</f>
        <v/>
      </c>
      <c r="B91" s="12">
        <f>IFERROR(IF(AND(ISNUMBER('Điểm tổng'!D25),'Điểm tổng'!D25&lt;2),'Điểm tổng'!D25,""),"")</f>
        <v/>
      </c>
    </row>
    <row r="92">
      <c r="A92">
        <f>IFERROR(IF(AND(ISNUMBER('Điểm tổng'!D26),'Điểm tổng'!D26&lt;2),'Điểm tổng'!A26,""),"")</f>
        <v/>
      </c>
      <c r="B92" s="12">
        <f>IFERROR(IF(AND(ISNUMBER('Điểm tổng'!D26),'Điểm tổng'!D26&lt;2),'Điểm tổng'!D26,""),"")</f>
        <v/>
      </c>
    </row>
    <row r="93">
      <c r="A93">
        <f>IFERROR(IF(AND(ISNUMBER('Điểm tổng'!D27),'Điểm tổng'!D27&lt;2),'Điểm tổng'!A27,""),"")</f>
        <v/>
      </c>
      <c r="B93" s="12">
        <f>IFERROR(IF(AND(ISNUMBER('Điểm tổng'!D27),'Điểm tổng'!D27&lt;2),'Điểm tổng'!D27,""),"")</f>
        <v/>
      </c>
    </row>
    <row r="94">
      <c r="A94">
        <f>IFERROR(IF(AND(ISNUMBER('Điểm tổng'!D28),'Điểm tổng'!D28&lt;2),'Điểm tổng'!A28,""),"")</f>
        <v/>
      </c>
      <c r="B94" s="12">
        <f>IFERROR(IF(AND(ISNUMBER('Điểm tổng'!D28),'Điểm tổng'!D28&lt;2),'Điểm tổng'!D28,""),"")</f>
        <v/>
      </c>
    </row>
    <row r="95">
      <c r="A95">
        <f>IFERROR(IF(AND(ISNUMBER('Điểm tổng'!D29),'Điểm tổng'!D29&lt;2),'Điểm tổng'!A29,""),"")</f>
        <v/>
      </c>
      <c r="B95" s="12">
        <f>IFERROR(IF(AND(ISNUMBER('Điểm tổng'!D29),'Điểm tổng'!D29&lt;2),'Điểm tổng'!D29,""),"")</f>
        <v/>
      </c>
    </row>
    <row r="96">
      <c r="A96">
        <f>IFERROR(IF(AND(ISNUMBER('Điểm tổng'!D30),'Điểm tổng'!D30&lt;2),'Điểm tổng'!A30,""),"")</f>
        <v/>
      </c>
      <c r="B96" s="12">
        <f>IFERROR(IF(AND(ISNUMBER('Điểm tổng'!D30),'Điểm tổng'!D30&lt;2),'Điểm tổng'!D30,""),"")</f>
        <v/>
      </c>
    </row>
    <row r="97">
      <c r="A97">
        <f>IFERROR(IF(AND(ISNUMBER('Điểm tổng'!D31),'Điểm tổng'!D31&lt;2),'Điểm tổng'!A31,""),"")</f>
        <v/>
      </c>
      <c r="B97" s="12">
        <f>IFERROR(IF(AND(ISNUMBER('Điểm tổng'!D31),'Điểm tổng'!D31&lt;2),'Điểm tổng'!D31,""),"")</f>
        <v/>
      </c>
    </row>
    <row r="98">
      <c r="A98">
        <f>IFERROR(IF(AND(ISNUMBER('Điểm tổng'!D32),'Điểm tổng'!D32&lt;2),'Điểm tổng'!A32,""),"")</f>
        <v/>
      </c>
      <c r="B98" s="12">
        <f>IFERROR(IF(AND(ISNUMBER('Điểm tổng'!D32),'Điểm tổng'!D32&lt;2),'Điểm tổng'!D32,""),"")</f>
        <v/>
      </c>
    </row>
    <row r="99">
      <c r="A99">
        <f>IFERROR(IF(AND(ISNUMBER('Điểm tổng'!D33),'Điểm tổng'!D33&lt;2),'Điểm tổng'!A33,""),"")</f>
        <v/>
      </c>
      <c r="B99" s="12">
        <f>IFERROR(IF(AND(ISNUMBER('Điểm tổng'!D33),'Điểm tổng'!D33&lt;2),'Điểm tổng'!D33,""),"")</f>
        <v/>
      </c>
    </row>
    <row r="100">
      <c r="A100">
        <f>IFERROR(IF(AND(ISNUMBER('Điểm tổng'!D34),'Điểm tổng'!D34&lt;2),'Điểm tổng'!A34,""),"")</f>
        <v/>
      </c>
      <c r="B100" s="12">
        <f>IFERROR(IF(AND(ISNUMBER('Điểm tổng'!D34),'Điểm tổng'!D34&lt;2),'Điểm tổng'!D34,""),"")</f>
        <v/>
      </c>
    </row>
    <row r="101">
      <c r="A101">
        <f>IFERROR(IF(AND(ISNUMBER('Điểm tổng'!D35),'Điểm tổng'!D35&lt;2),'Điểm tổng'!A35,""),"")</f>
        <v/>
      </c>
      <c r="B101" s="12">
        <f>IFERROR(IF(AND(ISNUMBER('Điểm tổng'!D35),'Điểm tổng'!D35&lt;2),'Điểm tổng'!D35,""),"")</f>
        <v/>
      </c>
    </row>
    <row r="102">
      <c r="A102">
        <f>IFERROR(IF(AND(ISNUMBER('Điểm tổng'!D36),'Điểm tổng'!D36&lt;2),'Điểm tổng'!A36,""),"")</f>
        <v/>
      </c>
      <c r="B102" s="12">
        <f>IFERROR(IF(AND(ISNUMBER('Điểm tổng'!D36),'Điểm tổng'!D36&lt;2),'Điểm tổng'!D36,""),"")</f>
        <v/>
      </c>
    </row>
    <row r="103">
      <c r="A103">
        <f>IFERROR(IF(AND(ISNUMBER('Điểm tổng'!D37),'Điểm tổng'!D37&lt;2),'Điểm tổng'!A37,""),"")</f>
        <v/>
      </c>
      <c r="B103" s="12">
        <f>IFERROR(IF(AND(ISNUMBER('Điểm tổng'!D37),'Điểm tổng'!D37&lt;2),'Điểm tổng'!D37,""),"")</f>
        <v/>
      </c>
    </row>
    <row r="104">
      <c r="A104">
        <f>IFERROR(IF(AND(ISNUMBER('Điểm tổng'!D38),'Điểm tổng'!D38&lt;2),'Điểm tổng'!A38,""),"")</f>
        <v/>
      </c>
      <c r="B104" s="12">
        <f>IFERROR(IF(AND(ISNUMBER('Điểm tổng'!D38),'Điểm tổng'!D38&lt;2),'Điểm tổng'!D38,""),"")</f>
        <v/>
      </c>
    </row>
    <row r="105">
      <c r="A105">
        <f>IFERROR(IF(AND(ISNUMBER('Điểm tổng'!D39),'Điểm tổng'!D39&lt;2),'Điểm tổng'!A39,""),"")</f>
        <v/>
      </c>
      <c r="B105" s="12">
        <f>IFERROR(IF(AND(ISNUMBER('Điểm tổng'!D39),'Điểm tổng'!D39&lt;2),'Điểm tổng'!D39,""),"")</f>
        <v/>
      </c>
    </row>
    <row r="106">
      <c r="A106">
        <f>IFERROR(IF(AND(ISNUMBER('Điểm tổng'!D40),'Điểm tổng'!D40&lt;2),'Điểm tổng'!A40,""),"")</f>
        <v/>
      </c>
      <c r="B106" s="12">
        <f>IFERROR(IF(AND(ISNUMBER('Điểm tổng'!D40),'Điểm tổng'!D40&lt;2),'Điểm tổng'!D40,""),"")</f>
        <v/>
      </c>
    </row>
    <row r="107">
      <c r="A107">
        <f>IFERROR(IF(AND(ISNUMBER('Điểm tổng'!D41),'Điểm tổng'!D41&lt;2),'Điểm tổng'!A41,""),"")</f>
        <v/>
      </c>
      <c r="B107" s="12">
        <f>IFERROR(IF(AND(ISNUMBER('Điểm tổng'!D41),'Điểm tổng'!D41&lt;2),'Điểm tổng'!D41,""),"")</f>
        <v/>
      </c>
    </row>
    <row r="108">
      <c r="A108">
        <f>IFERROR(IF(AND(ISNUMBER('Điểm tổng'!D42),'Điểm tổng'!D42&lt;2),'Điểm tổng'!A42,""),"")</f>
        <v/>
      </c>
      <c r="B108" s="12">
        <f>IFERROR(IF(AND(ISNUMBER('Điểm tổng'!D42),'Điểm tổng'!D42&lt;2),'Điểm tổng'!D42,""),"")</f>
        <v/>
      </c>
    </row>
    <row r="109">
      <c r="A109">
        <f>IFERROR(IF(AND(ISNUMBER('Điểm tổng'!D43),'Điểm tổng'!D43&lt;2),'Điểm tổng'!A43,""),"")</f>
        <v/>
      </c>
      <c r="B109" s="12">
        <f>IFERROR(IF(AND(ISNUMBER('Điểm tổng'!D43),'Điểm tổng'!D43&lt;2),'Điểm tổng'!D43,""),"")</f>
        <v/>
      </c>
    </row>
    <row r="110">
      <c r="A110">
        <f>IFERROR(IF(AND(ISNUMBER('Điểm tổng'!D44),'Điểm tổng'!D44&lt;2),'Điểm tổng'!A44,""),"")</f>
        <v/>
      </c>
      <c r="B110" s="12">
        <f>IFERROR(IF(AND(ISNUMBER('Điểm tổng'!D44),'Điểm tổng'!D44&lt;2),'Điểm tổng'!D44,""),"")</f>
        <v/>
      </c>
    </row>
    <row r="111">
      <c r="A111">
        <f>IFERROR(IF(AND(ISNUMBER('Điểm tổng'!D45),'Điểm tổng'!D45&lt;2),'Điểm tổng'!A45,""),"")</f>
        <v/>
      </c>
      <c r="B111" s="12">
        <f>IFERROR(IF(AND(ISNUMBER('Điểm tổng'!D45),'Điểm tổng'!D45&lt;2),'Điểm tổng'!D45,""),"")</f>
        <v/>
      </c>
    </row>
    <row r="112">
      <c r="A112">
        <f>IFERROR(IF(AND(ISNUMBER('Điểm tổng'!D46),'Điểm tổng'!D46&lt;2),'Điểm tổng'!A46,""),"")</f>
        <v/>
      </c>
      <c r="B112" s="12">
        <f>IFERROR(IF(AND(ISNUMBER('Điểm tổng'!D46),'Điểm tổng'!D46&lt;2),'Điểm tổng'!D46,""),"")</f>
        <v/>
      </c>
    </row>
    <row r="113">
      <c r="A113">
        <f>IFERROR(IF(AND(ISNUMBER('Điểm tổng'!D47),'Điểm tổng'!D47&lt;2),'Điểm tổng'!A47,""),"")</f>
        <v/>
      </c>
      <c r="B113" s="12">
        <f>IFERROR(IF(AND(ISNUMBER('Điểm tổng'!D47),'Điểm tổng'!D47&lt;2),'Điểm tổng'!D47,""),"")</f>
        <v/>
      </c>
    </row>
    <row r="114">
      <c r="A114">
        <f>IFERROR(IF(AND(ISNUMBER('Điểm tổng'!D48),'Điểm tổng'!D48&lt;2),'Điểm tổng'!A48,""),"")</f>
        <v/>
      </c>
      <c r="B114" s="12">
        <f>IFERROR(IF(AND(ISNUMBER('Điểm tổng'!D48),'Điểm tổng'!D48&lt;2),'Điểm tổng'!D48,""),"")</f>
        <v/>
      </c>
    </row>
    <row r="115">
      <c r="A115">
        <f>IFERROR(IF(AND(ISNUMBER('Điểm tổng'!D49),'Điểm tổng'!D49&lt;2),'Điểm tổng'!A49,""),"")</f>
        <v/>
      </c>
      <c r="B115" s="12">
        <f>IFERROR(IF(AND(ISNUMBER('Điểm tổng'!D49),'Điểm tổng'!D49&lt;2),'Điểm tổng'!D49,""),"")</f>
        <v/>
      </c>
    </row>
    <row r="116">
      <c r="A116">
        <f>IFERROR(IF(AND(ISNUMBER('Điểm tổng'!D50),'Điểm tổng'!D50&lt;2),'Điểm tổng'!A50,""),"")</f>
        <v/>
      </c>
      <c r="B116" s="12">
        <f>IFERROR(IF(AND(ISNUMBER('Điểm tổng'!D50),'Điểm tổng'!D50&lt;2),'Điểm tổng'!D50,""),"")</f>
        <v/>
      </c>
    </row>
    <row r="117">
      <c r="A117">
        <f>IFERROR(IF(AND(ISNUMBER('Điểm tổng'!D51),'Điểm tổng'!D51&lt;2),'Điểm tổng'!A51,""),"")</f>
        <v/>
      </c>
      <c r="B117" s="12">
        <f>IFERROR(IF(AND(ISNUMBER('Điểm tổng'!D51),'Điểm tổng'!D51&lt;2),'Điểm tổng'!D51,""),"")</f>
        <v/>
      </c>
    </row>
  </sheetData>
  <mergeCells count="4">
    <mergeCell ref="A1:D1"/>
    <mergeCell ref="A3:B3"/>
    <mergeCell ref="A66:B66"/>
    <mergeCell ref="A12:B1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2026-02-03T01:18:54Z</dcterms:created>
  <dcterms:modified xsi:type="dcterms:W3CDTF">2026-02-03T01:18:54Z</dcterms:modified>
</cp:coreProperties>
</file>