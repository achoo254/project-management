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
    </mc:Choice>
  </mc:AlternateContent>
  <xr:revisionPtr revIDLastSave="0" documentId="13_ncr:1_{254AD12F-7AF7-4949-A2B5-68592C57337E}" xr6:coauthVersionLast="47" xr6:coauthVersionMax="47" xr10:uidLastSave="{00000000-0000-0000-0000-000000000000}"/>
  <bookViews>
    <workbookView xWindow="-108" yWindow="-108" windowWidth="30936" windowHeight="16776" activeTab="2" xr2:uid="{00000000-000D-0000-FFFF-FFFF00000000}"/>
  </bookViews>
  <sheets>
    <sheet name="Executive Summary" sheetId="1" r:id="rId1"/>
    <sheet name="Cấu trúc &amp; Trọng số" sheetId="2" r:id="rId2"/>
    <sheet name="HEAD_OF_TECH" sheetId="3" r:id="rId3"/>
    <sheet name="MÔ TẢ - PHỤ LỤC" sheetId="4" r:id="rId4"/>
    <sheet name="Summary_Ranking"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5" i="5" l="1"/>
  <c r="J35" i="5"/>
  <c r="G35" i="5"/>
  <c r="F35" i="5"/>
  <c r="K34" i="5"/>
  <c r="J34" i="5"/>
  <c r="G34" i="5"/>
  <c r="F34" i="5"/>
  <c r="K33" i="5"/>
  <c r="J33" i="5"/>
  <c r="G33" i="5"/>
  <c r="F33" i="5"/>
  <c r="K32" i="5"/>
  <c r="J32" i="5"/>
  <c r="G32" i="5"/>
  <c r="F32" i="5"/>
  <c r="K31" i="5"/>
  <c r="J31" i="5"/>
  <c r="G31" i="5"/>
  <c r="F31" i="5"/>
  <c r="K30" i="5"/>
  <c r="J30" i="5"/>
  <c r="G30" i="5"/>
  <c r="F30" i="5"/>
  <c r="K29" i="5"/>
  <c r="J29" i="5"/>
  <c r="G29" i="5"/>
  <c r="F29" i="5"/>
  <c r="K28" i="5"/>
  <c r="J28" i="5"/>
  <c r="G28" i="5"/>
  <c r="F28" i="5"/>
  <c r="K27" i="5"/>
  <c r="J27" i="5"/>
  <c r="G27" i="5"/>
  <c r="F27" i="5"/>
  <c r="K26" i="5"/>
  <c r="J26" i="5"/>
  <c r="G26" i="5"/>
  <c r="F26" i="5"/>
  <c r="K25" i="5"/>
  <c r="J25" i="5"/>
  <c r="G25" i="5"/>
  <c r="F25" i="5"/>
  <c r="K24" i="5"/>
  <c r="J24" i="5"/>
  <c r="G24" i="5"/>
  <c r="F24" i="5"/>
  <c r="K23" i="5"/>
  <c r="J23" i="5"/>
  <c r="G23" i="5"/>
  <c r="F23" i="5"/>
  <c r="K22" i="5"/>
  <c r="J22" i="5"/>
  <c r="G22" i="5"/>
  <c r="F22" i="5"/>
  <c r="K21" i="5"/>
  <c r="J21" i="5"/>
  <c r="G21" i="5"/>
  <c r="F21" i="5"/>
  <c r="K20" i="5"/>
  <c r="J20" i="5"/>
  <c r="G20" i="5"/>
  <c r="F20" i="5"/>
  <c r="K19" i="5"/>
  <c r="J19" i="5"/>
  <c r="G19" i="5"/>
  <c r="F19" i="5"/>
  <c r="K18" i="5"/>
  <c r="J18" i="5"/>
  <c r="G18" i="5"/>
  <c r="F18" i="5"/>
  <c r="K17" i="5"/>
  <c r="J17" i="5"/>
  <c r="G17" i="5"/>
  <c r="F17" i="5"/>
  <c r="K16" i="5"/>
  <c r="J16" i="5"/>
  <c r="G16" i="5"/>
  <c r="F16" i="5"/>
  <c r="K15" i="5"/>
  <c r="J15" i="5"/>
  <c r="G15" i="5"/>
  <c r="F15" i="5"/>
  <c r="K14" i="5"/>
  <c r="J14" i="5"/>
  <c r="G14" i="5"/>
  <c r="F14" i="5"/>
  <c r="K13" i="5"/>
  <c r="J13" i="5"/>
  <c r="G13" i="5"/>
  <c r="F13" i="5"/>
  <c r="K12" i="5"/>
  <c r="J12" i="5"/>
  <c r="G12" i="5"/>
  <c r="F12" i="5"/>
  <c r="K11" i="5"/>
  <c r="J11" i="5"/>
  <c r="G11" i="5"/>
  <c r="F11" i="5"/>
  <c r="K10" i="5"/>
  <c r="J10" i="5"/>
  <c r="G10" i="5"/>
  <c r="F10" i="5"/>
  <c r="K9" i="5"/>
  <c r="J9" i="5"/>
  <c r="G9" i="5"/>
  <c r="F9" i="5"/>
  <c r="K8" i="5"/>
  <c r="J8" i="5"/>
  <c r="G8" i="5"/>
  <c r="F8" i="5"/>
  <c r="K7" i="5"/>
  <c r="J7" i="5"/>
  <c r="G7" i="5"/>
  <c r="F7" i="5"/>
  <c r="K6" i="5"/>
  <c r="J6" i="5"/>
  <c r="G6" i="5"/>
  <c r="F6" i="5"/>
  <c r="B30" i="3"/>
  <c r="M15" i="5" s="1"/>
  <c r="D10" i="3"/>
  <c r="D9" i="3"/>
  <c r="D8" i="3"/>
  <c r="D7" i="3"/>
  <c r="D11" i="3" l="1"/>
  <c r="B31" i="3" s="1"/>
  <c r="N35" i="5" s="1"/>
  <c r="M32" i="5"/>
  <c r="M8" i="5"/>
  <c r="M12" i="5"/>
  <c r="M16" i="5"/>
  <c r="M20" i="5"/>
  <c r="M24" i="5"/>
  <c r="M28" i="5"/>
  <c r="M33" i="5"/>
  <c r="M9" i="5"/>
  <c r="M13" i="5"/>
  <c r="M17" i="5"/>
  <c r="M21" i="5"/>
  <c r="M25" i="5"/>
  <c r="M29" i="5"/>
  <c r="M34" i="5"/>
  <c r="M6" i="5"/>
  <c r="M10" i="5"/>
  <c r="M14" i="5"/>
  <c r="M18" i="5"/>
  <c r="M22" i="5"/>
  <c r="M26" i="5"/>
  <c r="M30" i="5"/>
  <c r="M11" i="5"/>
  <c r="M19" i="5"/>
  <c r="M23" i="5"/>
  <c r="M27" i="5"/>
  <c r="M31" i="5"/>
  <c r="M35" i="5"/>
  <c r="M7" i="5"/>
  <c r="N21" i="5" l="1"/>
  <c r="N22" i="5"/>
  <c r="N8" i="5"/>
  <c r="N28" i="5"/>
  <c r="N33" i="5"/>
  <c r="N9" i="5"/>
  <c r="N13" i="5"/>
  <c r="N17" i="5"/>
  <c r="N25" i="5"/>
  <c r="N29" i="5"/>
  <c r="N6" i="5"/>
  <c r="N10" i="5"/>
  <c r="N14" i="5"/>
  <c r="N18" i="5"/>
  <c r="N26" i="5"/>
  <c r="N23" i="5"/>
  <c r="N27" i="5"/>
  <c r="N30" i="5"/>
  <c r="N34" i="5"/>
  <c r="N7" i="5"/>
  <c r="N11" i="5"/>
  <c r="N32" i="5"/>
  <c r="N15" i="5"/>
  <c r="N19" i="5"/>
  <c r="N12" i="5"/>
  <c r="N16" i="5"/>
  <c r="N20" i="5"/>
  <c r="N31" i="5"/>
  <c r="N24" i="5"/>
</calcChain>
</file>

<file path=xl/sharedStrings.xml><?xml version="1.0" encoding="utf-8"?>
<sst xmlns="http://schemas.openxmlformats.org/spreadsheetml/2006/main" count="143" uniqueCount="119">
  <si>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</si>
  <si>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</si>
  <si>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</si>
  <si>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</si>
  <si>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CẤU TRÚC &amp; TRỌNG SỐ P2+</t>
  </si>
  <si>
    <t>I. CẤU TRÚC TỔNG THỂ P2+</t>
  </si>
  <si>
    <t>P2+ gồm 2 thành phần:</t>
  </si>
  <si>
    <t>A. P2-Core – Năng lực &amp; cách làm việc (50%)</t>
  </si>
  <si>
    <t xml:space="preserve">  • A. Năng lực kỹ thuật &amp; kiến trúc</t>
  </si>
  <si>
    <t xml:space="preserve">  • B. Ownership &amp; quản lý hệ thống</t>
  </si>
  <si>
    <t xml:space="preserve">  • C. Tối ưu hoá quy trình &amp; tự động hoá (AI-first)</t>
  </si>
  <si>
    <t xml:space="preserve">  • D. Đào tạo &amp; điều phối đội ngũ</t>
  </si>
  <si>
    <t>B. P2-Delivery – Kết quả công việc (50%)</t>
  </si>
  <si>
    <t xml:space="preserve">  • OKR/KPI tháng hoặc quý</t>
  </si>
  <si>
    <t xml:space="preserve">  • Chất lượng delivery</t>
  </si>
  <si>
    <t>II. CÁCH TÍNH ĐIỂM P2+</t>
  </si>
  <si>
    <t>P2+ là điểm đánh giá cuối cùng dùng để xếp loại năng lực.</t>
  </si>
  <si>
    <t>P2+ Tổng = (P2-Core × 50%) + (P2-Delivery × 50%)</t>
  </si>
  <si>
    <t>📌 Trong đó:</t>
  </si>
  <si>
    <t>P2-Core: phản ánh năng lực &amp; cách làm việc dài hạn</t>
  </si>
  <si>
    <t>P2-Delivery: phản ánh kết quả thực tế trong kỳ</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</si>
  <si>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</si>
  <si>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</si>
  <si>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</si>
  <si>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</si>
  <si>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</si>
  <si>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</si>
  <si>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</si>
  <si>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</si>
  <si>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</si>
  <si>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</si>
  <si>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NGƯỠNG XẾP LOẠI</t>
  </si>
  <si>
    <t>P2+ Tổng</t>
  </si>
  <si>
    <t>Xếp loại</t>
  </si>
  <si>
    <t>&lt; 2.8</t>
  </si>
  <si>
    <t>Chưa đạt</t>
  </si>
  <si>
    <t>2.8 – 3.4</t>
  </si>
  <si>
    <t>Đạt</t>
  </si>
  <si>
    <t>3.5 – 4.1</t>
  </si>
  <si>
    <t>Tốt</t>
  </si>
  <si>
    <t>≥ 4.2</t>
  </si>
  <si>
    <t>Xuất sắc</t>
  </si>
  <si>
    <t>P2 PERFORMANCE EVALUATION – Head of Tech</t>
  </si>
  <si>
    <t>Họ và tên</t>
  </si>
  <si>
    <t>Kỳ đánh giá</t>
  </si>
  <si>
    <t>Vai trò</t>
  </si>
  <si>
    <t>Người đánh giá</t>
  </si>
  <si>
    <t>Nhóm năng lực</t>
  </si>
  <si>
    <t>Trọng số (%)</t>
  </si>
  <si>
    <t>Mức (L1/L2/L3/L4)</t>
  </si>
  <si>
    <t>Điểm quy đổi</t>
  </si>
  <si>
    <t>Nhận xét</t>
  </si>
  <si>
    <t>A. Năng lực kỹ thuật &amp; kiến trúc</t>
  </si>
  <si>
    <t>B. Ownership &amp; vận hành hệ thống</t>
  </si>
  <si>
    <t>C. Tối ưu hoá quy trình &amp; tự động hoá (AI-first)</t>
  </si>
  <si>
    <t>D. Đào tạo &amp; điều phối đội ngũ</t>
  </si>
  <si>
    <t>TỔNG P2</t>
  </si>
  <si>
    <t>THANG ĐÁNH GIÁ CHI TIẾT (L1/L2/L3/L4)</t>
  </si>
  <si>
    <t>Mức</t>
  </si>
  <si>
    <t>Mô tả</t>
  </si>
  <si>
    <t>L1</t>
  </si>
  <si>
    <t>Thực hiện công việc theo kế hoạch/quy trình có sẵn; còn phụ thuộc vào chỉ đạo và hỗ trợ từ lãnh đạo; xử lý vấn đề ở phạm vi hẹp, mang tính tác vụ.</t>
  </si>
  <si>
    <t>L2</t>
  </si>
  <si>
    <t>Chủ động tổ chức và triển khai công việc; chịu trách nhiệm với phần việc được giao; đảm bảo hệ thống/dự án vận hành ổn định, đúng kế hoạch và mục tiêu cam kết.</t>
  </si>
  <si>
    <t>L3</t>
  </si>
  <si>
    <t>Không chỉ vận hành mà còn chủ động cải tiến kiến trúc, quy trình và cách làm; giải quyết vấn đề xuyên hệ thống; tối ưu hiệu suất, chất lượng và năng suất của đội ngũ.</t>
  </si>
  <si>
    <t>L4</t>
  </si>
  <si>
    <t>Extra: Định hướng chiến lược, chuẩn hoá cách làm và mô hình tổ chức; xây dựng hệ thống và đội ngũ tự chủ; tạo tác động rộng ở cấp bộ phận hoặc toàn công ty; nâng cao hiệu quả dài hạn.</t>
  </si>
  <si>
    <t>Kết quả công việc (P2-Delivery – từ OKR/KPI)</t>
  </si>
  <si>
    <t>Phần này phản ánh kết quả đầu ra, không đánh giá lại năng lực hay cách làm việc. (P2-Core là phần đánh giá NĂNG LỰC &amp; CÁCH LÀM VIỆC mang tính nền tảng và dài hạn của nhân sự Công Nghệ.)</t>
  </si>
  <si>
    <t>Tiêu chí</t>
  </si>
  <si>
    <t>Điểm (Chưa đạt=1.5, Đạt=3.5, Tốt=5)</t>
  </si>
  <si>
    <t>Mức độ hoàn thành OKR</t>
  </si>
  <si>
    <t>Tỷ lệ hoàn thành các mục tiêu đã cam kết trong kỳ đánh giá</t>
  </si>
  <si>
    <t>Chất lượng &amp; ổn định hệ thống</t>
  </si>
  <si>
    <t>Ít lỗi nghiêm trọng; hạn chế làm lại; không gây sự cố production; hệ thống vận hành ổn định</t>
  </si>
  <si>
    <t>Cam kết &amp; tiến độ</t>
  </si>
  <si>
    <t>Hoàn thành đúng hạn; chủ động báo sớm rủi ro; phối hợp tốt; đảm bảo nhịp độ bàn giao liên tục</t>
  </si>
  <si>
    <t>P2-Delivery = Trung bình cộng các tiêu chí trên</t>
  </si>
  <si>
    <t>P2-Delivery</t>
  </si>
  <si>
    <t>MÔ TẢ NĂNG LỰC THEO VAI TRÒ</t>
  </si>
  <si>
    <t>Gợi ý: dùng nút +/- (Outline) để thu gọn/mở rộng theo từng Vai trò. Cấp độ 1 – Thực thi theo chỉ đạo: Tổ chức và vận hành hoạt động bộ phận Công Nghệ theo kế hoạch có sẵn; phụ thuộc vào định hướng và hỗ trợ từ lãnh đạo. | Cấp độ 2 – Chủ động chịu trách nhiệm: Chủ động tổ chức, điều phối và chịu trách nhiệm phần việc được giao; đảm bảo hệ thống và dự án vận hành ổn định, đúng kế hoạch và mục tiêu cam kết. |  Cấp độ 3 – Tối ưu &amp; cải tiến hệ thống: Chủ động cải tiến kiến trúc, quy trình và cách làm; giải quyết hiệu quả các vấn đề xuyên hệ thống; nâng cao chất lượng, năng suất và hiệu quả tổng thể. | Cấp độ 4 – Chuẩn hoá &amp; dẫn dắt tổ chức: Định hướng chiến lược, chuẩn hoá kiến trúc và mô hình vận hành; xây dựng đội ngũ tự chủ; mở rộng tác động ở cấp bộ phận hoặc toàn công ty.</t>
  </si>
  <si>
    <t>Head of Tech</t>
  </si>
  <si>
    <t>Cấp độ 1</t>
  </si>
  <si>
    <t>Cấp độ 2</t>
  </si>
  <si>
    <t>Cấp độ 3</t>
  </si>
  <si>
    <t>Cấp độ 4</t>
  </si>
  <si>
    <t>Thực hiện phát triển kỹ thuật theo kiến trúc có sẵn; chủ yếu xử lý ở mức tính năng/chi tiết; phụ thuộc vào định hướng kỹ thuật từ cấp trên.</t>
  </si>
  <si>
    <t>Chủ động thiết kế và lựa chọn giải pháp kỹ thuật cho dự án; đảm bảo hệ thống hoạt động ổn định, bảo mật và đáp ứng yêu cầu nghiệp vụ.</t>
  </si>
  <si>
    <t>Tối ưu kiến trúc tổng thể (backend, frontend, database, bảo mật, CI/CD…); giải quyết các vấn đề xuyên hệ thống; nâng cao hiệu năng, độ ổn định và khả năng mở rộng.</t>
  </si>
  <si>
    <t>Dẫn dắt định hướng kiến trúc ở cấp sản phẩm/hệ thống; xây dựng nền tảng kỹ thuật bền vững cho nhiều sản phẩm; tạo lợi thế công nghệ dài hạn và ảnh hưởng chiến lược đến tổ chức.</t>
  </si>
  <si>
    <t>Thực hiện vận hành theo yêu cầu; xử lý sự cố khi được giao; còn phụ thuộc vào chỉ đạo và hỗ trợ thường xuyên.</t>
  </si>
  <si>
    <t>Chủ động chịu trách nhiệm vận hành hệ thống/dự án được giao; đảm bảo uptime, ổn định, đúng tiến độ và chất lượng cam kết.</t>
  </si>
  <si>
    <t>Thiết lập cơ chế vận hành bền vững (monitoring, alert, audit, backup, security, quy trình sự cố…); giảm rủi ro hệ thống; chủ động phòng ngừa thay vì chỉ xử lý.</t>
  </si>
  <si>
    <t>Xây dựng hệ thống vận hành có khả năng tự kiểm soát; chủ động phòng ngừa rủi ro; mô hình quản lý trở thành chuẩn tham chiếu cho các đơn vị khác.</t>
  </si>
  <si>
    <t>Thực hiện công việc theo quy trình có sẵn; thao tác thủ công là chính; ít áp dụng công cụ tự động hoá hoặc AI.</t>
  </si>
  <si>
    <t>Áp dụng các công cụ tự động hoá/AI để tăng hiệu suất cá nhân; cải thiện tốc độ phát triển và giảm thao tác lặp lại trong phạm vi công việc của mình.</t>
  </si>
  <si>
    <t>Chuẩn hoá quy trình làm việc của đội ngũ (CI/CD, template, script, AI Agent, vibe coding…); tự động hoá phần lớn công việc lặp lại; rút ngắn thời gian delivery và giảm lỗi hệ thống.</t>
  </si>
  <si>
    <t>Định hướng chiến lược AI-first cho toàn bộ bộ phận; xây dựng môi trường phát triển tự động hoá cao (code/doc/test/deploy bằng AI); tối ưu chi phí nhân lực và tăng năng suất vượt trội cho tổ chức.</t>
  </si>
  <si>
    <t>Phân công và điều phối chưa hiệu quả; đội ngũ phụ thuộc chỉ đạo trực tiếp; phối hợp liên phòng ban còn hạn chế.</t>
  </si>
  <si>
    <t>Tổ chức đội ngũ ổn định; phân công rõ ràng; đội ngũ làm việc chủ động; phối hợp tốt với các bộ phận liên quan.</t>
  </si>
  <si>
    <t>Đào tạo đội ngũ nâng cao năng lực chuyên môn và cách làm việc; chuẩn hoá tài liệu, guideline, best-practice; giúp thành viên làm việc độc lập và hiệu quả.</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</si>
  <si>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</si>
  <si>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</si>
  <si>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</si>
  <si>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</si>
  <si>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</si>
  <si>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</si>
  <si>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</si>
  <si>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</si>
  <si>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</si>
  <si>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</si>
  <si>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</si>
  <si>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</si>
  <si>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</si>
  <si>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</si>
  <si>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</si>
  <si>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Trịnh Quốc Hoàn Đạt</t>
  </si>
  <si>
    <t>Trưởng phòng Công Nghệ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</si>
</sst>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ont>
    <font>
      <i/>
      <sz val="10"/>
      <color rgb="FF404040"/>
      <name val="Calibri"/>
    </font>
    <font>
      <b/>
      <sz val="12"/>
      <color rgb="FFFFFFFF"/>
      <name val="Calibri"/>
    </font>
    <font>
      <b/>
      <sz val="11"/>
      <color rgb="FF1F1F1F"/>
      <name val="Calibri"/>
    </font>
    <font>
      <sz val="11"/>
      <color rgb="FF1F1F1F"/>
      <name val="Calibri"/>
    </font>
    <font>
      <sz val="11"/>
      <color rgb="FF1F1F1F"/>
      <name val="Calibri"/>
      <family val="2"/>
    </font>
    <font>
      <b/>
      <sz val="11"/>
      <color rgb="FF1F1F1F"/>
      <name val="Calibri"/>
    </font>
    <font>
      <b/>
      <sz val="18"/>
      <color rgb="FFFFFFFF"/>
      <name val="Calibri"/>
    </font>
    <font>
      <sz val="11"/>
      <color rgb="FF1F1F1F"/>
      <name val="Calibri"/>
    </font>
    <font>
      <b/>
      <sz val="14"/>
      <color rgb="FFFFFFFF"/>
      <name val="Calibri"/>
    </font>
    <font>
      <b/>
      <sz val="16"/>
      <color rgb="FFFFFFFF"/>
      <name val="Calibri"/>
    </font>
    <font>
      <b/>
      <sz val="11"/>
      <color rgb="FF1F1F1F"/>
      <name val="Calibri"/>
    </font>
    <font>
      <b/>
      <sz val="12"/>
      <color rgb="FF1F1F1F"/>
      <name val="Calibri"/>
    </font>
    <font>
      <b/>
      <sz val="11"/>
      <color rgb="FF1F1F1F"/>
      <name val="Calibri"/>
      <family val="2"/>
    </font>
    <font>
      <b/>
      <sz val="11"/>
      <color theme="0"/>
      <name val="Calibri"/>
      <family val="2"/>
    </font>
  </fonts>
  <fills count="17">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BFBFBF"/>
      </left>
      <right style="thin">
        <color rgb="FFBFBFBF"/>
      </right>
      <top/>
      <bottom style="thin">
        <color rgb="FFBFBFBF"/>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73">
    <xf numFmtId="0" fontId="0" fillId="0" borderId="0" xfId="0"/>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0" xfId="0" applyFont="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3"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5" fillId="14" borderId="0" xfId="0" applyFont="1" applyFill="1" applyAlignment="1">
      <alignment horizontal="center" vertical="center" wrapText="1"/>
    </xf>
    <xf numFmtId="0" fontId="12" fillId="0" borderId="3" xfId="0" applyFont="1" applyBorder="1" applyAlignment="1">
      <alignment horizontal="left" vertical="center" wrapText="1"/>
    </xf>
    <xf numFmtId="0" fontId="12" fillId="0" borderId="3" xfId="0" applyFont="1" applyBorder="1" applyAlignment="1">
      <alignment horizontal="center" vertical="center" wrapText="1"/>
    </xf>
    <xf numFmtId="0" fontId="15" fillId="0" borderId="4" xfId="0" applyFont="1" applyBorder="1" applyAlignment="1">
      <alignment horizontal="left" vertical="center" wrapText="1"/>
    </xf>
    <xf numFmtId="0" fontId="17" fillId="0" borderId="4" xfId="0" applyFont="1" applyBorder="1" applyAlignment="1">
      <alignment horizontal="left" vertical="center" wrapText="1"/>
    </xf>
    <xf numFmtId="0" fontId="0" fillId="5" borderId="4" xfId="0" applyFill="1" applyBorder="1" applyAlignment="1">
      <alignment horizontal="center" vertical="center" wrapText="1"/>
    </xf>
    <xf numFmtId="0" fontId="2" fillId="2" borderId="11" xfId="0" applyFont="1" applyFill="1" applyBorder="1" applyAlignment="1">
      <alignment horizontal="center" vertical="center" wrapText="1"/>
    </xf>
    <xf numFmtId="0" fontId="15" fillId="14" borderId="12" xfId="0" applyFont="1" applyFill="1" applyBorder="1" applyAlignment="1">
      <alignment horizontal="center" vertical="center" wrapText="1"/>
    </xf>
    <xf numFmtId="0" fontId="12" fillId="0" borderId="0" xfId="0" applyFont="1" applyAlignment="1">
      <alignment horizontal="left" vertical="top" wrapText="1"/>
    </xf>
    <xf numFmtId="0" fontId="0" fillId="0" borderId="10" xfId="0" applyBorder="1"/>
    <xf numFmtId="0" fontId="0" fillId="0" borderId="14" xfId="0" applyBorder="1"/>
    <xf numFmtId="0" fontId="7" fillId="8" borderId="0" xfId="0" applyFont="1" applyFill="1" applyAlignment="1">
      <alignment horizontal="center" vertical="center" wrapText="1"/>
    </xf>
    <xf numFmtId="0" fontId="9" fillId="0" borderId="0" xfId="0" applyFont="1" applyAlignment="1">
      <alignment horizontal="left" vertical="top" wrapText="1"/>
    </xf>
    <xf numFmtId="0" fontId="17" fillId="9" borderId="2" xfId="0" applyFont="1" applyFill="1" applyBorder="1" applyAlignment="1">
      <alignment horizontal="left" vertical="center" wrapText="1"/>
    </xf>
    <xf numFmtId="0" fontId="8" fillId="0" borderId="3" xfId="0" applyFont="1" applyBorder="1" applyAlignment="1">
      <alignment horizontal="left" vertical="center" wrapText="1"/>
    </xf>
    <xf numFmtId="0" fontId="12" fillId="12" borderId="0" xfId="0" applyFont="1" applyFill="1" applyAlignment="1">
      <alignment horizontal="left" vertical="top" wrapText="1"/>
    </xf>
    <xf numFmtId="0" fontId="0" fillId="0" borderId="0" xfId="0"/>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7" fillId="15" borderId="18" xfId="0" applyFont="1" applyFill="1" applyBorder="1" applyAlignment="1">
      <alignment horizontal="left" vertical="center" wrapText="1"/>
    </xf>
    <xf numFmtId="0" fontId="0" fillId="0" borderId="13" xfId="0" applyBorder="1"/>
    <xf numFmtId="0" fontId="12" fillId="12" borderId="18" xfId="0" applyFont="1" applyFill="1" applyBorder="1" applyAlignment="1">
      <alignment horizontal="left" vertical="center" wrapText="1"/>
    </xf>
    <xf numFmtId="0" fontId="13" fillId="13" borderId="0" xfId="0" applyFont="1" applyFill="1" applyAlignment="1">
      <alignment horizontal="left" vertical="center" wrapText="1"/>
    </xf>
    <xf numFmtId="0" fontId="15" fillId="14" borderId="18" xfId="0" applyFont="1" applyFill="1" applyBorder="1" applyAlignment="1">
      <alignment horizontal="left" vertical="center" wrapText="1"/>
    </xf>
    <xf numFmtId="0" fontId="8" fillId="0" borderId="13" xfId="0" applyFont="1" applyBorder="1" applyAlignment="1">
      <alignment horizontal="left" vertical="center" wrapText="1"/>
    </xf>
    <xf numFmtId="0" fontId="8" fillId="0" borderId="0" xfId="0" applyFont="1" applyAlignment="1">
      <alignment horizontal="left" vertical="center" wrapText="1"/>
    </xf>
    <xf numFmtId="0" fontId="15" fillId="14" borderId="11" xfId="0" applyFont="1" applyFill="1" applyBorder="1" applyAlignment="1">
      <alignment horizontal="left" vertical="center" wrapText="1"/>
    </xf>
    <xf numFmtId="0" fontId="0" fillId="0" borderId="6" xfId="0" applyBorder="1"/>
    <xf numFmtId="0" fontId="0" fillId="0" borderId="7" xfId="0" applyBorder="1"/>
    <xf numFmtId="0" fontId="12" fillId="0" borderId="15" xfId="0" applyFont="1" applyBorder="1" applyAlignment="1">
      <alignment horizontal="left" vertical="center" wrapText="1"/>
    </xf>
    <xf numFmtId="0" fontId="0" fillId="0" borderId="9" xfId="0" applyBorder="1"/>
    <xf numFmtId="0" fontId="0" fillId="0" borderId="15" xfId="0" applyBorder="1"/>
    <xf numFmtId="0" fontId="15" fillId="0" borderId="0" xfId="0" applyFont="1" applyAlignment="1">
      <alignment horizontal="left" vertical="center" wrapText="1"/>
    </xf>
    <xf numFmtId="0" fontId="12" fillId="0" borderId="15" xfId="0" applyFont="1" applyBorder="1" applyAlignment="1">
      <alignment horizontal="left" vertical="top" wrapText="1"/>
    </xf>
    <xf numFmtId="0" fontId="13" fillId="13" borderId="16" xfId="0" applyFont="1" applyFill="1" applyBorder="1" applyAlignment="1">
      <alignment horizontal="left" vertical="center" wrapText="1"/>
    </xf>
    <xf numFmtId="0" fontId="0" fillId="0" borderId="16" xfId="0" applyBorder="1"/>
    <xf numFmtId="0" fontId="8" fillId="0" borderId="15" xfId="0" applyFont="1" applyBorder="1" applyAlignment="1">
      <alignment horizontal="left" vertical="center" wrapText="1"/>
    </xf>
    <xf numFmtId="0" fontId="7" fillId="15" borderId="11" xfId="0" applyFont="1" applyFill="1" applyBorder="1" applyAlignment="1">
      <alignment horizontal="left" vertical="center" wrapText="1"/>
    </xf>
    <xf numFmtId="0" fontId="12" fillId="0" borderId="13" xfId="0" applyFont="1" applyBorder="1" applyAlignment="1">
      <alignment horizontal="left" vertical="top" wrapText="1"/>
    </xf>
    <xf numFmtId="0" fontId="14" fillId="11" borderId="0" xfId="0" applyFont="1" applyFill="1" applyAlignment="1">
      <alignment horizontal="center" vertical="center" wrapText="1"/>
    </xf>
    <xf numFmtId="0" fontId="13" fillId="13" borderId="11" xfId="0" applyFont="1" applyFill="1" applyBorder="1" applyAlignment="1">
      <alignment horizontal="left" vertical="center" wrapText="1"/>
    </xf>
    <xf numFmtId="0" fontId="16" fillId="12" borderId="17" xfId="0" applyFont="1" applyFill="1" applyBorder="1" applyAlignment="1">
      <alignment horizontal="center" vertical="center" wrapText="1"/>
    </xf>
    <xf numFmtId="0" fontId="12" fillId="0" borderId="0" xfId="0" applyFont="1" applyAlignment="1">
      <alignment horizontal="left" vertical="center" wrapText="1"/>
    </xf>
    <xf numFmtId="0" fontId="12" fillId="0" borderId="13" xfId="0" applyFont="1" applyBorder="1" applyAlignment="1">
      <alignment horizontal="left" vertical="center" wrapText="1"/>
    </xf>
    <xf numFmtId="0" fontId="0" fillId="5" borderId="4" xfId="0" applyFill="1" applyBorder="1" applyAlignment="1">
      <alignment horizontal="left" vertical="center" wrapText="1"/>
    </xf>
    <xf numFmtId="0" fontId="0" fillId="0" borderId="8" xfId="0" applyBorder="1"/>
    <xf numFmtId="0" fontId="0" fillId="0" borderId="5" xfId="0" applyBorder="1"/>
    <xf numFmtId="2" fontId="12" fillId="0" borderId="4" xfId="0" applyNumberFormat="1" applyFont="1" applyBorder="1" applyAlignment="1">
      <alignment horizontal="center" vertical="center" wrapText="1"/>
    </xf>
    <xf numFmtId="0" fontId="0" fillId="0" borderId="0" xfId="0" applyAlignment="1">
      <alignment horizontal="left" vertical="center" wrapText="1"/>
    </xf>
    <xf numFmtId="0" fontId="8" fillId="0" borderId="4" xfId="0" applyFont="1" applyBorder="1" applyAlignment="1">
      <alignment horizontal="left" vertical="top" wrapText="1"/>
    </xf>
    <xf numFmtId="0" fontId="1" fillId="0" borderId="0" xfId="0" applyFont="1" applyAlignment="1">
      <alignment horizontal="center" vertical="center" wrapText="1"/>
    </xf>
    <xf numFmtId="0" fontId="7" fillId="15" borderId="4" xfId="0" applyFont="1" applyFill="1" applyBorder="1" applyAlignment="1">
      <alignment horizontal="left" vertical="center" wrapText="1"/>
    </xf>
    <xf numFmtId="0" fontId="3" fillId="4" borderId="0" xfId="0" applyFont="1" applyFill="1" applyAlignment="1">
      <alignment horizontal="left" vertical="center" wrapText="1"/>
    </xf>
    <xf numFmtId="0" fontId="18" fillId="16" borderId="4" xfId="0" applyFont="1" applyFill="1" applyBorder="1" applyAlignment="1">
      <alignment horizontal="left" vertical="center" wrapText="1"/>
    </xf>
    <xf numFmtId="0" fontId="2" fillId="2" borderId="10" xfId="0" applyFont="1" applyFill="1" applyBorder="1" applyAlignment="1">
      <alignment horizontal="center" vertical="center" wrapText="1"/>
    </xf>
    <xf numFmtId="0" fontId="5" fillId="0" borderId="0" xfId="0" applyFont="1" applyAlignment="1">
      <alignment horizontal="center" vertical="center" wrapText="1"/>
    </xf>
    <xf numFmtId="0" fontId="4" fillId="6" borderId="0" xfId="0" applyFont="1" applyFill="1" applyAlignment="1">
      <alignment horizontal="center" vertical="center"/>
    </xf>
    <xf numFmtId="0" fontId="6" fillId="7" borderId="0" xfId="0" applyFont="1" applyFill="1" applyAlignment="1">
      <alignment horizontal="center" vertical="center" wrapText="1"/>
    </xf>
  </cellXfs>
  <cellStyles count="1">
    <cellStyle name="Normal" xfId="0" builtinId="0"/>
  </cellStyles>
  <dxfs count="14">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font>
        <strike val="0"/>
        <condense val="0"/>
        <extend val="0"/>
        <outline val="0"/>
        <shadow val="0"/>
        <vertAlign val="baseline"/>
        <sz val="11"/>
        <color rgb="FF1F1F1F"/>
        <name val="Calibri"/>
        <family val="2"/>
      </font>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E9">
  <autoFilter ref="A5:E9" xr:uid="{00000000-0009-0000-0100-000001000000}"/>
  <tableColumns count="5">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 id="5" xr3:uid="{00000000-0010-0000-0000-000005000000}" name="Cấp độ 4" dataDxfId="13"/>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D15" sqref="D15"/>
    </sheetView>
  </sheetViews>
  <sheetFormatPr defaultRowHeight="14.4" x14ac:dyDescent="0.3"/>
  <cols>
    <col min="1" max="5" width="20" customWidth="1"/>
  </cols>
  <sheetData>
    <row r="1" spans="1:5" ht="40.049999999999997" customHeight="1" x14ac:dyDescent="0.3">
      <c r="A1" s="31" t="s">
        <v>0</v>
      </c>
      <c r="B1" s="30"/>
      <c r="C1" s="30"/>
      <c r="D1" s="30"/>
      <c r="E1" s="30"/>
    </row>
    <row r="3" spans="1:5" ht="79.95" customHeight="1" x14ac:dyDescent="0.3">
      <c r="A3" s="33" t="s">
        <v>1</v>
      </c>
      <c r="B3" s="30"/>
      <c r="C3" s="30"/>
      <c r="D3" s="30"/>
      <c r="E3" s="30"/>
    </row>
    <row r="5" spans="1:5" ht="25.05" customHeight="1" x14ac:dyDescent="0.3">
      <c r="A5" s="32" t="s">
        <v>2</v>
      </c>
      <c r="B5" s="30"/>
      <c r="C5" s="30"/>
      <c r="D5" s="30"/>
      <c r="E5" s="30"/>
    </row>
    <row r="6" spans="1:5" ht="60" customHeight="1" x14ac:dyDescent="0.3">
      <c r="A6" s="29" t="s">
        <v>3</v>
      </c>
      <c r="B6" s="30"/>
      <c r="C6" s="30"/>
      <c r="D6" s="30"/>
      <c r="E6" s="30"/>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2"/>
  <sheetViews>
    <sheetView workbookViewId="0">
      <pane ySplit="1" topLeftCell="A20" activePane="bottomLeft" state="frozen"/>
      <selection pane="bottomLeft" activeCell="C42" sqref="C42"/>
    </sheetView>
  </sheetViews>
  <sheetFormatPr defaultRowHeight="14.4" x14ac:dyDescent="0.3"/>
  <cols>
    <col min="1" max="1" width="25" customWidth="1"/>
    <col min="2" max="4" width="30" customWidth="1"/>
  </cols>
  <sheetData>
    <row r="1" spans="1:4" ht="34.950000000000003" customHeight="1" x14ac:dyDescent="0.3">
      <c r="A1" s="54" t="s">
        <v>4</v>
      </c>
      <c r="B1" s="30"/>
      <c r="C1" s="30"/>
      <c r="D1" s="30"/>
    </row>
    <row r="3" spans="1:4" ht="25.05" customHeight="1" x14ac:dyDescent="0.3">
      <c r="A3" s="55" t="s">
        <v>5</v>
      </c>
      <c r="B3" s="42"/>
      <c r="C3" s="42"/>
      <c r="D3" s="43"/>
    </row>
    <row r="4" spans="1:4" ht="19.95" customHeight="1" x14ac:dyDescent="0.3">
      <c r="A4" s="38" t="s">
        <v>6</v>
      </c>
      <c r="B4" s="30"/>
      <c r="C4" s="30"/>
      <c r="D4" s="35"/>
    </row>
    <row r="5" spans="1:4" ht="19.95" customHeight="1" x14ac:dyDescent="0.3">
      <c r="A5" s="34" t="s">
        <v>7</v>
      </c>
      <c r="B5" s="30"/>
      <c r="C5" s="30"/>
      <c r="D5" s="35"/>
    </row>
    <row r="6" spans="1:4" ht="18" customHeight="1" x14ac:dyDescent="0.3">
      <c r="A6" s="23"/>
      <c r="B6" s="39" t="s">
        <v>8</v>
      </c>
      <c r="C6" s="30"/>
      <c r="D6" s="35"/>
    </row>
    <row r="7" spans="1:4" ht="18" customHeight="1" x14ac:dyDescent="0.3">
      <c r="A7" s="23"/>
      <c r="B7" s="39" t="s">
        <v>9</v>
      </c>
      <c r="C7" s="30"/>
      <c r="D7" s="35"/>
    </row>
    <row r="8" spans="1:4" ht="18" customHeight="1" x14ac:dyDescent="0.3">
      <c r="A8" s="23"/>
      <c r="B8" s="39" t="s">
        <v>10</v>
      </c>
      <c r="C8" s="30"/>
      <c r="D8" s="35"/>
    </row>
    <row r="9" spans="1:4" ht="18" customHeight="1" x14ac:dyDescent="0.3">
      <c r="A9" s="24"/>
      <c r="B9" s="51" t="s">
        <v>11</v>
      </c>
      <c r="C9" s="45"/>
      <c r="D9" s="46"/>
    </row>
    <row r="11" spans="1:4" ht="19.95" customHeight="1" x14ac:dyDescent="0.3">
      <c r="A11" s="52" t="s">
        <v>12</v>
      </c>
      <c r="B11" s="42"/>
      <c r="C11" s="42"/>
      <c r="D11" s="43"/>
    </row>
    <row r="12" spans="1:4" ht="18" customHeight="1" x14ac:dyDescent="0.3">
      <c r="A12" s="23"/>
      <c r="B12" s="58" t="s">
        <v>13</v>
      </c>
      <c r="C12" s="30"/>
      <c r="D12" s="35"/>
    </row>
    <row r="13" spans="1:4" ht="18" customHeight="1" x14ac:dyDescent="0.3">
      <c r="A13" s="24"/>
      <c r="B13" s="44" t="s">
        <v>14</v>
      </c>
      <c r="C13" s="45"/>
      <c r="D13" s="46"/>
    </row>
    <row r="16" spans="1:4" ht="25.05" customHeight="1" x14ac:dyDescent="0.3">
      <c r="A16" s="55" t="s">
        <v>15</v>
      </c>
      <c r="B16" s="42"/>
      <c r="C16" s="42"/>
      <c r="D16" s="43"/>
    </row>
    <row r="17" spans="1:4" ht="22.05" customHeight="1" x14ac:dyDescent="0.3">
      <c r="A17" s="36" t="s">
        <v>16</v>
      </c>
      <c r="B17" s="30"/>
      <c r="C17" s="30"/>
      <c r="D17" s="35"/>
    </row>
    <row r="18" spans="1:4" ht="30" customHeight="1" x14ac:dyDescent="0.3">
      <c r="A18" s="56" t="s">
        <v>17</v>
      </c>
      <c r="B18" s="45"/>
      <c r="C18" s="45"/>
      <c r="D18" s="46"/>
    </row>
    <row r="19" spans="1:4" ht="19.95" customHeight="1" x14ac:dyDescent="0.3">
      <c r="A19" s="47" t="s">
        <v>18</v>
      </c>
      <c r="B19" s="30"/>
      <c r="C19" s="30"/>
      <c r="D19" s="30"/>
    </row>
    <row r="20" spans="1:4" ht="18" customHeight="1" x14ac:dyDescent="0.3">
      <c r="A20" s="40" t="s">
        <v>19</v>
      </c>
      <c r="B20" s="30"/>
      <c r="C20" s="30"/>
      <c r="D20" s="30"/>
    </row>
    <row r="21" spans="1:4" ht="18" customHeight="1" x14ac:dyDescent="0.3">
      <c r="A21" s="57" t="s">
        <v>20</v>
      </c>
      <c r="B21" s="30"/>
      <c r="C21" s="30"/>
      <c r="D21" s="30"/>
    </row>
    <row r="23" spans="1:4" ht="25.05" customHeight="1" x14ac:dyDescent="0.3">
      <c r="A23" s="37" t="s">
        <v>21</v>
      </c>
      <c r="B23" s="30"/>
      <c r="C23" s="30"/>
      <c r="D23" s="30"/>
    </row>
    <row r="24" spans="1:4" ht="19.95" customHeight="1" x14ac:dyDescent="0.3">
      <c r="A24" s="41" t="s">
        <v>22</v>
      </c>
      <c r="B24" s="42"/>
      <c r="C24" s="42"/>
      <c r="D24" s="43"/>
    </row>
    <row r="25" spans="1:4" ht="19.95" customHeight="1" x14ac:dyDescent="0.3">
      <c r="A25" s="23"/>
      <c r="B25" s="53" t="s">
        <v>23</v>
      </c>
      <c r="C25" s="30"/>
      <c r="D25" s="35"/>
    </row>
    <row r="26" spans="1:4" ht="19.95" customHeight="1" x14ac:dyDescent="0.3">
      <c r="A26" s="23"/>
      <c r="B26" s="53" t="s">
        <v>24</v>
      </c>
      <c r="C26" s="30"/>
      <c r="D26" s="35"/>
    </row>
    <row r="27" spans="1:4" ht="19.95" customHeight="1" x14ac:dyDescent="0.3">
      <c r="A27" s="24"/>
      <c r="B27" s="48" t="s">
        <v>25</v>
      </c>
      <c r="C27" s="45"/>
      <c r="D27" s="46"/>
    </row>
    <row r="29" spans="1:4" ht="19.95" customHeight="1" x14ac:dyDescent="0.3">
      <c r="A29" s="41" t="s">
        <v>26</v>
      </c>
      <c r="B29" s="42"/>
      <c r="C29" s="42"/>
      <c r="D29" s="43"/>
    </row>
    <row r="30" spans="1:4" ht="34.200000000000003" customHeight="1" x14ac:dyDescent="0.3">
      <c r="A30" s="24"/>
      <c r="B30" s="48" t="s">
        <v>27</v>
      </c>
      <c r="C30" s="45"/>
      <c r="D30" s="46"/>
    </row>
    <row r="32" spans="1:4" ht="19.95" customHeight="1" x14ac:dyDescent="0.3">
      <c r="A32" s="41" t="s">
        <v>28</v>
      </c>
      <c r="B32" s="42"/>
      <c r="C32" s="42"/>
      <c r="D32" s="43"/>
    </row>
    <row r="33" spans="1:4" ht="19.95" customHeight="1" x14ac:dyDescent="0.3">
      <c r="A33" s="23"/>
      <c r="B33" s="53" t="s">
        <v>29</v>
      </c>
      <c r="C33" s="30"/>
      <c r="D33" s="35"/>
    </row>
    <row r="34" spans="1:4" ht="19.95" customHeight="1" x14ac:dyDescent="0.3">
      <c r="A34" s="24"/>
      <c r="B34" s="48" t="s">
        <v>30</v>
      </c>
      <c r="C34" s="45"/>
      <c r="D34" s="46"/>
    </row>
    <row r="37" spans="1:4" ht="25.05" customHeight="1" x14ac:dyDescent="0.3">
      <c r="A37" s="49" t="s">
        <v>31</v>
      </c>
      <c r="B37" s="50"/>
    </row>
    <row r="38" spans="1:4" ht="19.95" customHeight="1" x14ac:dyDescent="0.3">
      <c r="A38" s="12" t="s">
        <v>32</v>
      </c>
      <c r="B38" s="12" t="s">
        <v>33</v>
      </c>
    </row>
    <row r="39" spans="1:4" ht="19.95" customHeight="1" x14ac:dyDescent="0.3">
      <c r="A39" s="13" t="s">
        <v>34</v>
      </c>
      <c r="B39" s="13" t="s">
        <v>35</v>
      </c>
    </row>
    <row r="40" spans="1:4" ht="19.95" customHeight="1" x14ac:dyDescent="0.3">
      <c r="A40" s="13" t="s">
        <v>36</v>
      </c>
      <c r="B40" s="13" t="s">
        <v>37</v>
      </c>
    </row>
    <row r="41" spans="1:4" ht="19.95" customHeight="1" x14ac:dyDescent="0.3">
      <c r="A41" s="13" t="s">
        <v>38</v>
      </c>
      <c r="B41" s="13" t="s">
        <v>39</v>
      </c>
    </row>
    <row r="42" spans="1:4" ht="19.95" customHeight="1" x14ac:dyDescent="0.3">
      <c r="A42" s="13" t="s">
        <v>40</v>
      </c>
      <c r="B42" s="13" t="s">
        <v>41</v>
      </c>
    </row>
  </sheetData>
  <mergeCells count="28">
    <mergeCell ref="A1:D1"/>
    <mergeCell ref="B26:D26"/>
    <mergeCell ref="A16:D16"/>
    <mergeCell ref="B7:D7"/>
    <mergeCell ref="B25:D25"/>
    <mergeCell ref="A18:D18"/>
    <mergeCell ref="A3:D3"/>
    <mergeCell ref="A21:D21"/>
    <mergeCell ref="B12:D12"/>
    <mergeCell ref="A29:D29"/>
    <mergeCell ref="B13:D13"/>
    <mergeCell ref="A19:D19"/>
    <mergeCell ref="B34:D34"/>
    <mergeCell ref="A37:B37"/>
    <mergeCell ref="A24:D24"/>
    <mergeCell ref="B30:D30"/>
    <mergeCell ref="B33:D33"/>
    <mergeCell ref="B27:D27"/>
    <mergeCell ref="A32:D32"/>
    <mergeCell ref="A5:D5"/>
    <mergeCell ref="A17:D17"/>
    <mergeCell ref="A23:D23"/>
    <mergeCell ref="A4:D4"/>
    <mergeCell ref="B8:D8"/>
    <mergeCell ref="A20:D20"/>
    <mergeCell ref="B9:D9"/>
    <mergeCell ref="A11:D11"/>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tabSelected="1" topLeftCell="A12" workbookViewId="0">
      <selection activeCell="B34" sqref="B34"/>
    </sheetView>
  </sheetViews>
  <sheetFormatPr defaultRowHeight="14.4" x14ac:dyDescent="0.3"/>
  <cols>
    <col min="1" max="1" width="34" customWidth="1"/>
    <col min="2" max="2" width="40" customWidth="1"/>
    <col min="3" max="3" width="15" customWidth="1"/>
    <col min="4" max="4" width="16" customWidth="1"/>
    <col min="5" max="5" width="44" customWidth="1"/>
  </cols>
  <sheetData>
    <row r="1" spans="1:5" ht="28.05" customHeight="1" x14ac:dyDescent="0.3">
      <c r="A1" s="65" t="s">
        <v>42</v>
      </c>
      <c r="B1" s="30"/>
      <c r="C1" s="30"/>
      <c r="D1" s="30"/>
      <c r="E1" s="30"/>
    </row>
    <row r="3" spans="1:5" ht="19.95" customHeight="1" x14ac:dyDescent="0.3">
      <c r="A3" s="5" t="s">
        <v>43</v>
      </c>
      <c r="B3" s="63" t="s">
        <v>117</v>
      </c>
      <c r="C3" s="30"/>
      <c r="D3" s="5" t="s">
        <v>44</v>
      </c>
      <c r="E3" s="63"/>
    </row>
    <row r="4" spans="1:5" ht="19.95" customHeight="1" x14ac:dyDescent="0.3">
      <c r="A4" s="5" t="s">
        <v>45</v>
      </c>
      <c r="B4" s="63" t="s">
        <v>118</v>
      </c>
      <c r="C4" s="30"/>
      <c r="D4" s="5" t="s">
        <v>46</v>
      </c>
      <c r="E4" s="1"/>
    </row>
    <row r="6" spans="1:5" ht="28.8" customHeight="1" x14ac:dyDescent="0.3">
      <c r="A6" s="2" t="s">
        <v>47</v>
      </c>
      <c r="B6" s="2" t="s">
        <v>48</v>
      </c>
      <c r="C6" s="2" t="s">
        <v>49</v>
      </c>
      <c r="D6" s="2" t="s">
        <v>50</v>
      </c>
      <c r="E6" s="2" t="s">
        <v>51</v>
      </c>
    </row>
    <row r="7" spans="1:5" x14ac:dyDescent="0.3">
      <c r="A7" s="4" t="s">
        <v>52</v>
      </c>
      <c r="B7" s="3">
        <v>30</v>
      </c>
      <c r="C7" s="3" t="s">
        <v>62</v>
      </c>
      <c r="D7" s="3">
        <f>IF(C7="","",B7*IF(C7="L1",1.5,IF(C7="L2",2.5,IF(C7="L3",3.5,IF(C7="L4",5,0))))/100)</f>
        <v>0.75</v>
      </c>
      <c r="E7" s="4"/>
    </row>
    <row r="8" spans="1:5" x14ac:dyDescent="0.3">
      <c r="A8" s="4" t="s">
        <v>53</v>
      </c>
      <c r="B8" s="3">
        <v>20</v>
      </c>
      <c r="C8" s="3" t="s">
        <v>62</v>
      </c>
      <c r="D8" s="3">
        <f>IF(C8="","",B8*IF(C8="L1",1.5,IF(C8="L2",2.5,IF(C8="L3",3.5,IF(C8="L4",5,0))))/100)</f>
        <v>0.5</v>
      </c>
      <c r="E8" s="4"/>
    </row>
    <row r="9" spans="1:5" ht="28.8" customHeight="1" x14ac:dyDescent="0.3">
      <c r="A9" s="4" t="s">
        <v>54</v>
      </c>
      <c r="B9" s="3">
        <v>30</v>
      </c>
      <c r="C9" s="3" t="s">
        <v>64</v>
      </c>
      <c r="D9" s="3">
        <f>IF(C9="","",B9*IF(C9="L1",1.5,IF(C9="L2",2.5,IF(C9="L3",3.5,IF(C9="L4",5,0))))/100)</f>
        <v>1.05</v>
      </c>
      <c r="E9" s="4"/>
    </row>
    <row r="10" spans="1:5" x14ac:dyDescent="0.3">
      <c r="A10" s="4" t="s">
        <v>55</v>
      </c>
      <c r="B10" s="3">
        <v>20</v>
      </c>
      <c r="C10" s="3" t="s">
        <v>64</v>
      </c>
      <c r="D10" s="3">
        <f>IF(C10="","",B10*IF(C10="L1",1.5,IF(C10="L2",2.5,IF(C10="L3",3.5,IF(C10="L4",5,0))))/100)</f>
        <v>0.7</v>
      </c>
      <c r="E10" s="4"/>
    </row>
    <row r="11" spans="1:5" x14ac:dyDescent="0.3">
      <c r="A11" s="6" t="s">
        <v>56</v>
      </c>
      <c r="B11" s="6">
        <v>100</v>
      </c>
      <c r="C11" s="6"/>
      <c r="D11" s="6">
        <f>SUM(D7:D10)</f>
        <v>3</v>
      </c>
      <c r="E11" s="7"/>
    </row>
    <row r="13" spans="1:5" ht="19.95" customHeight="1" x14ac:dyDescent="0.3">
      <c r="A13" s="67" t="s">
        <v>57</v>
      </c>
      <c r="B13" s="30"/>
      <c r="C13" s="30"/>
      <c r="D13" s="30"/>
      <c r="E13" s="30"/>
    </row>
    <row r="14" spans="1:5" x14ac:dyDescent="0.3">
      <c r="A14" s="20" t="s">
        <v>58</v>
      </c>
      <c r="B14" s="69" t="s">
        <v>59</v>
      </c>
      <c r="C14" s="30"/>
      <c r="D14" s="30"/>
      <c r="E14" s="30"/>
    </row>
    <row r="15" spans="1:5" ht="34.049999999999997" customHeight="1" x14ac:dyDescent="0.3">
      <c r="A15" s="19" t="s">
        <v>60</v>
      </c>
      <c r="B15" s="59" t="s">
        <v>61</v>
      </c>
      <c r="C15" s="60"/>
      <c r="D15" s="60"/>
      <c r="E15" s="61"/>
    </row>
    <row r="16" spans="1:5" ht="34.049999999999997" customHeight="1" x14ac:dyDescent="0.3">
      <c r="A16" s="19" t="s">
        <v>62</v>
      </c>
      <c r="B16" s="59" t="s">
        <v>63</v>
      </c>
      <c r="C16" s="60"/>
      <c r="D16" s="60"/>
      <c r="E16" s="61"/>
    </row>
    <row r="17" spans="1:5" ht="34.049999999999997" customHeight="1" x14ac:dyDescent="0.3">
      <c r="A17" s="19" t="s">
        <v>64</v>
      </c>
      <c r="B17" s="59" t="s">
        <v>65</v>
      </c>
      <c r="C17" s="60"/>
      <c r="D17" s="60"/>
      <c r="E17" s="61"/>
    </row>
    <row r="18" spans="1:5" ht="34.799999999999997" customHeight="1" x14ac:dyDescent="0.3">
      <c r="A18" s="19" t="s">
        <v>66</v>
      </c>
      <c r="B18" s="59" t="s">
        <v>67</v>
      </c>
      <c r="C18" s="60"/>
      <c r="D18" s="60"/>
      <c r="E18" s="61"/>
    </row>
    <row r="21" spans="1:5" ht="25.05" customHeight="1" x14ac:dyDescent="0.3">
      <c r="A21" s="66" t="s">
        <v>68</v>
      </c>
      <c r="B21" s="60"/>
      <c r="C21" s="61"/>
    </row>
    <row r="22" spans="1:5" ht="42" customHeight="1" x14ac:dyDescent="0.3">
      <c r="A22" s="64" t="s">
        <v>69</v>
      </c>
      <c r="B22" s="60"/>
      <c r="C22" s="61"/>
    </row>
    <row r="23" spans="1:5" x14ac:dyDescent="0.3">
      <c r="A23" s="22"/>
    </row>
    <row r="24" spans="1:5" ht="19.95" customHeight="1" x14ac:dyDescent="0.3">
      <c r="A24" s="21" t="s">
        <v>70</v>
      </c>
      <c r="B24" s="21" t="s">
        <v>59</v>
      </c>
      <c r="C24" s="21" t="s">
        <v>71</v>
      </c>
    </row>
    <row r="25" spans="1:5" ht="28.8" customHeight="1" x14ac:dyDescent="0.3">
      <c r="A25" s="15" t="s">
        <v>72</v>
      </c>
      <c r="B25" s="15" t="s">
        <v>73</v>
      </c>
      <c r="C25" s="16" t="s">
        <v>37</v>
      </c>
    </row>
    <row r="26" spans="1:5" ht="28.8" customHeight="1" x14ac:dyDescent="0.3">
      <c r="A26" s="28" t="s">
        <v>74</v>
      </c>
      <c r="B26" s="28" t="s">
        <v>75</v>
      </c>
      <c r="C26" s="16" t="s">
        <v>37</v>
      </c>
    </row>
    <row r="27" spans="1:5" ht="28.8" customHeight="1" x14ac:dyDescent="0.3">
      <c r="A27" s="15" t="s">
        <v>76</v>
      </c>
      <c r="B27" s="28" t="s">
        <v>77</v>
      </c>
      <c r="C27" s="16" t="s">
        <v>35</v>
      </c>
    </row>
    <row r="29" spans="1:5" ht="19.95" customHeight="1" x14ac:dyDescent="0.3">
      <c r="A29" s="68" t="s">
        <v>78</v>
      </c>
      <c r="B29" s="60"/>
      <c r="C29" s="61"/>
    </row>
    <row r="30" spans="1:5" ht="25.05" customHeight="1" x14ac:dyDescent="0.3">
      <c r="A30" s="17" t="s">
        <v>79</v>
      </c>
      <c r="B30" s="62">
        <f>IF(COUNTA(C25:C27)=0,"",
AVERAGE(
 IF(C25="Chưa đạt",1.5,IF(C25="Đạt",3.5,IF(C25="Tốt",5,""))),
 IF(C26="Chưa đạt",1.5,IF(C26="Đạt",3.5,IF(C26="Tốt",5,""))),
 IF(C27="Chưa đạt",1.5,IF(C27="Đạt",3.5,IF(C27="Tốt",5,"")))
))</f>
        <v>2.8333333333333335</v>
      </c>
      <c r="C30" s="61"/>
    </row>
    <row r="31" spans="1:5" ht="25.05" customHeight="1" x14ac:dyDescent="0.3">
      <c r="A31" s="18" t="s">
        <v>32</v>
      </c>
      <c r="B31" s="62">
        <f>IF(OR(D11="",B30=""),"",D11*0.5+B30*0.5)</f>
        <v>2.916666666666667</v>
      </c>
      <c r="C31" s="61"/>
    </row>
  </sheetData>
  <mergeCells count="15">
    <mergeCell ref="A1:E1"/>
    <mergeCell ref="A21:C21"/>
    <mergeCell ref="A13:E13"/>
    <mergeCell ref="B31:C31"/>
    <mergeCell ref="A29:C29"/>
    <mergeCell ref="B4:C4"/>
    <mergeCell ref="B14:E14"/>
    <mergeCell ref="B17:E17"/>
    <mergeCell ref="B30:C30"/>
    <mergeCell ref="B18:E18"/>
    <mergeCell ref="B3:C3"/>
    <mergeCell ref="E3"/>
    <mergeCell ref="A22:C22"/>
    <mergeCell ref="B16:E16"/>
    <mergeCell ref="B15:E15"/>
  </mergeCells>
  <conditionalFormatting sqref="C7:C10">
    <cfRule type="cellIs" dxfId="12" priority="1" operator="equal">
      <formula>1</formula>
    </cfRule>
    <cfRule type="cellIs" dxfId="11" priority="2" operator="equal">
      <formula>2</formula>
    </cfRule>
    <cfRule type="cellIs" dxfId="10" priority="3" operator="equal">
      <formula>3</formula>
    </cfRule>
    <cfRule type="cellIs" dxfId="9" priority="4" operator="equal">
      <formula>4</formula>
    </cfRule>
    <cfRule type="cellIs" dxfId="8" priority="5" operator="equal">
      <formula>5</formula>
    </cfRule>
  </conditionalFormatting>
  <conditionalFormatting sqref="D11">
    <cfRule type="cellIs" dxfId="7" priority="6" operator="lessThan">
      <formula>2.5</formula>
    </cfRule>
    <cfRule type="cellIs" dxfId="6" priority="7" operator="between">
      <formula>2.5</formula>
      <formula>3.2</formula>
    </cfRule>
    <cfRule type="cellIs" dxfId="5" priority="8" operator="between">
      <formula>3.3</formula>
      <formula>4</formula>
    </cfRule>
    <cfRule type="cellIs" dxfId="4" priority="9" operator="greaterThan">
      <formula>4</formula>
    </cfRule>
  </conditionalFormatting>
  <dataValidations count="2">
    <dataValidation type="list" allowBlank="1" sqref="C25:C27" xr:uid="{00000000-0002-0000-0200-000000000000}">
      <formula1>"Chưa đạt,Đạt,Tốt"</formula1>
    </dataValidation>
    <dataValidation type="list" allowBlank="1" sqref="C7:C10" xr:uid="{00000000-0002-0000-0200-000001000000}">
      <formula1>"L1,L2,L3,L4"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9"/>
  <sheetViews>
    <sheetView workbookViewId="0">
      <pane ySplit="3" topLeftCell="A4" activePane="bottomLeft" state="frozen"/>
      <selection pane="bottomLeft" activeCell="B13" sqref="B13"/>
    </sheetView>
  </sheetViews>
  <sheetFormatPr defaultRowHeight="14.4" outlineLevelRow="1" x14ac:dyDescent="0.3"/>
  <cols>
    <col min="1" max="1" width="22" customWidth="1"/>
    <col min="2" max="2" width="50" customWidth="1"/>
    <col min="3" max="3" width="38.88671875" customWidth="1"/>
    <col min="4" max="4" width="40.77734375" customWidth="1"/>
    <col min="5" max="5" width="46.44140625" customWidth="1"/>
  </cols>
  <sheetData>
    <row r="1" spans="1:5" ht="30" customHeight="1" x14ac:dyDescent="0.3">
      <c r="A1" s="71" t="s">
        <v>80</v>
      </c>
      <c r="B1" s="30"/>
      <c r="C1" s="30"/>
      <c r="D1" s="30"/>
      <c r="E1" s="30"/>
    </row>
    <row r="2" spans="1:5" ht="69" customHeight="1" x14ac:dyDescent="0.3">
      <c r="A2" s="70" t="s">
        <v>81</v>
      </c>
      <c r="B2" s="30"/>
      <c r="C2" s="30"/>
      <c r="D2" s="30"/>
      <c r="E2" s="30"/>
    </row>
    <row r="4" spans="1:5" ht="22.05" customHeight="1" x14ac:dyDescent="0.3">
      <c r="A4" s="72" t="s">
        <v>82</v>
      </c>
      <c r="B4" s="30"/>
      <c r="C4" s="30"/>
      <c r="D4" s="30"/>
      <c r="E4" s="30"/>
    </row>
    <row r="5" spans="1:5" ht="19.95" customHeight="1" outlineLevel="1" x14ac:dyDescent="0.3">
      <c r="A5" s="8" t="s">
        <v>47</v>
      </c>
      <c r="B5" s="8" t="s">
        <v>83</v>
      </c>
      <c r="C5" s="8" t="s">
        <v>84</v>
      </c>
      <c r="D5" s="8" t="s">
        <v>85</v>
      </c>
      <c r="E5" s="25" t="s">
        <v>86</v>
      </c>
    </row>
    <row r="6" spans="1:5" ht="79.95" customHeight="1" outlineLevel="1" x14ac:dyDescent="0.3">
      <c r="A6" s="27" t="s">
        <v>52</v>
      </c>
      <c r="B6" s="9" t="s">
        <v>87</v>
      </c>
      <c r="C6" s="9" t="s">
        <v>88</v>
      </c>
      <c r="D6" s="9" t="s">
        <v>89</v>
      </c>
      <c r="E6" s="26" t="s">
        <v>90</v>
      </c>
    </row>
    <row r="7" spans="1:5" ht="79.95" customHeight="1" outlineLevel="1" x14ac:dyDescent="0.3">
      <c r="A7" s="27" t="s">
        <v>53</v>
      </c>
      <c r="B7" s="9" t="s">
        <v>91</v>
      </c>
      <c r="C7" s="9" t="s">
        <v>92</v>
      </c>
      <c r="D7" s="9" t="s">
        <v>93</v>
      </c>
      <c r="E7" s="26" t="s">
        <v>94</v>
      </c>
    </row>
    <row r="8" spans="1:5" ht="79.95" customHeight="1" outlineLevel="1" x14ac:dyDescent="0.3">
      <c r="A8" s="27" t="s">
        <v>54</v>
      </c>
      <c r="B8" s="9" t="s">
        <v>95</v>
      </c>
      <c r="C8" s="9" t="s">
        <v>96</v>
      </c>
      <c r="D8" s="9" t="s">
        <v>97</v>
      </c>
      <c r="E8" s="26" t="s">
        <v>98</v>
      </c>
    </row>
    <row r="9" spans="1:5" ht="79.95" customHeight="1" outlineLevel="1" collapsed="1" x14ac:dyDescent="0.3">
      <c r="A9" s="27" t="s">
        <v>55</v>
      </c>
      <c r="B9" s="9" t="s">
        <v>99</v>
      </c>
      <c r="C9" s="9" t="s">
        <v>100</v>
      </c>
      <c r="D9" s="9" t="s">
        <v>101</v>
      </c>
      <c r="E9" s="26" t="s">
        <v>102</v>
      </c>
    </row>
  </sheetData>
  <mergeCells count="3">
    <mergeCell ref="A2:E2"/>
    <mergeCell ref="A1:E1"/>
    <mergeCell ref="A4:E4"/>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65" t="s">
        <v>103</v>
      </c>
      <c r="B1" s="30"/>
      <c r="C1" s="30"/>
      <c r="D1" s="30"/>
      <c r="E1" s="30"/>
      <c r="F1" s="30"/>
      <c r="G1" s="30"/>
      <c r="H1" s="30"/>
    </row>
    <row r="3" spans="1:14" x14ac:dyDescent="0.3">
      <c r="A3" s="63" t="s">
        <v>104</v>
      </c>
      <c r="B3" s="30"/>
      <c r="C3" s="30"/>
      <c r="D3" s="30"/>
      <c r="E3" s="30"/>
      <c r="F3" s="30"/>
      <c r="G3" s="30"/>
      <c r="H3" s="30"/>
    </row>
    <row r="5" spans="1:14" ht="28.8" customHeight="1" x14ac:dyDescent="0.3">
      <c r="A5" s="2" t="s">
        <v>105</v>
      </c>
      <c r="B5" s="2" t="s">
        <v>43</v>
      </c>
      <c r="C5" s="2" t="s">
        <v>45</v>
      </c>
      <c r="D5" s="2" t="s">
        <v>44</v>
      </c>
      <c r="E5" s="2" t="s">
        <v>106</v>
      </c>
      <c r="F5" s="2" t="s">
        <v>33</v>
      </c>
      <c r="G5" s="2" t="s">
        <v>107</v>
      </c>
      <c r="H5" s="2" t="s">
        <v>108</v>
      </c>
      <c r="I5" s="10" t="s">
        <v>109</v>
      </c>
      <c r="J5" s="10" t="s">
        <v>110</v>
      </c>
      <c r="K5" s="10" t="s">
        <v>32</v>
      </c>
      <c r="L5" s="14" t="s">
        <v>109</v>
      </c>
      <c r="M5" s="14" t="s">
        <v>110</v>
      </c>
      <c r="N5" s="14" t="s">
        <v>32</v>
      </c>
    </row>
    <row r="6" spans="1:14" x14ac:dyDescent="0.3">
      <c r="A6" s="3">
        <v>1</v>
      </c>
      <c r="B6" s="4" t="s">
        <v>111</v>
      </c>
      <c r="C6" s="4" t="s">
        <v>112</v>
      </c>
      <c r="D6" s="3"/>
      <c r="E6" s="3"/>
      <c r="F6" s="3" t="str">
        <f t="shared" ref="F6:F35" si="0">IF(E6="","",IF(E6&lt;2.5,"Chưa đạt",IF(E6&lt;=3.2,"Đạt",IF(E6&lt;=4,"Tốt","Rất tốt"))))</f>
        <v/>
      </c>
      <c r="G6" s="3" t="str">
        <f>IF(E6="","",_xludf.RANK.EQ(E6,$E$6:$E$35,0))</f>
        <v/>
      </c>
      <c r="H6" s="4"/>
      <c r="J6" s="11" t="e">
        <f>HEAD_OF_TECH!#REF!</f>
        <v>#REF!</v>
      </c>
      <c r="K6" s="11" t="e">
        <f>HEAD_OF_TECH!#REF!</f>
        <v>#REF!</v>
      </c>
      <c r="M6" s="11">
        <f>HEAD_OF_TECH!B30</f>
        <v>2.8333333333333335</v>
      </c>
      <c r="N6" s="11">
        <f>HEAD_OF_TECH!B31</f>
        <v>2.916666666666667</v>
      </c>
    </row>
    <row r="7" spans="1:14" x14ac:dyDescent="0.3">
      <c r="A7" s="3">
        <v>2</v>
      </c>
      <c r="B7" s="4" t="s">
        <v>113</v>
      </c>
      <c r="C7" s="4" t="s">
        <v>114</v>
      </c>
      <c r="D7" s="3"/>
      <c r="E7" s="3"/>
      <c r="F7" s="3" t="str">
        <f t="shared" si="0"/>
        <v/>
      </c>
      <c r="G7" s="3" t="str">
        <f>IF(E7="","",_xludf.RANK.EQ(E7,$E$6:$E$35,0))</f>
        <v/>
      </c>
      <c r="H7" s="4"/>
      <c r="J7" s="11" t="e">
        <f>HEAD_OF_TECH!#REF!</f>
        <v>#REF!</v>
      </c>
      <c r="K7" s="11" t="e">
        <f>HEAD_OF_TECH!#REF!</f>
        <v>#REF!</v>
      </c>
      <c r="M7" s="11">
        <f>HEAD_OF_TECH!B30</f>
        <v>2.8333333333333335</v>
      </c>
      <c r="N7" s="11">
        <f>HEAD_OF_TECH!B31</f>
        <v>2.916666666666667</v>
      </c>
    </row>
    <row r="8" spans="1:14" x14ac:dyDescent="0.3">
      <c r="A8" s="3">
        <v>3</v>
      </c>
      <c r="B8" s="4" t="s">
        <v>115</v>
      </c>
      <c r="C8" s="4" t="s">
        <v>114</v>
      </c>
      <c r="D8" s="3"/>
      <c r="E8" s="3"/>
      <c r="F8" s="3" t="str">
        <f t="shared" si="0"/>
        <v/>
      </c>
      <c r="G8" s="3" t="str">
        <f>IF(E8="","",_xludf.RANK.EQ(E8,$E$6:$E$35,0))</f>
        <v/>
      </c>
      <c r="H8" s="4"/>
      <c r="J8" s="11" t="e">
        <f>HEAD_OF_TECH!#REF!</f>
        <v>#REF!</v>
      </c>
      <c r="K8" s="11" t="e">
        <f>HEAD_OF_TECH!#REF!</f>
        <v>#REF!</v>
      </c>
      <c r="M8" s="11">
        <f>HEAD_OF_TECH!B30</f>
        <v>2.8333333333333335</v>
      </c>
      <c r="N8" s="11">
        <f>HEAD_OF_TECH!B31</f>
        <v>2.916666666666667</v>
      </c>
    </row>
    <row r="9" spans="1:14" x14ac:dyDescent="0.3">
      <c r="A9" s="3">
        <v>4</v>
      </c>
      <c r="B9" s="4" t="s">
        <v>116</v>
      </c>
      <c r="C9" s="4" t="s">
        <v>114</v>
      </c>
      <c r="D9" s="3"/>
      <c r="E9" s="3"/>
      <c r="F9" s="3" t="str">
        <f t="shared" si="0"/>
        <v/>
      </c>
      <c r="G9" s="3" t="str">
        <f>IF(E9="","",_xludf.RANK.EQ(E9,$E$6:$E$35,0))</f>
        <v/>
      </c>
      <c r="H9" s="4"/>
      <c r="J9" s="11" t="e">
        <f>HEAD_OF_TECH!#REF!</f>
        <v>#REF!</v>
      </c>
      <c r="K9" s="11" t="e">
        <f>HEAD_OF_TECH!#REF!</f>
        <v>#REF!</v>
      </c>
      <c r="M9" s="11">
        <f>HEAD_OF_TECH!B30</f>
        <v>2.8333333333333335</v>
      </c>
      <c r="N9" s="11">
        <f>HEAD_OF_TECH!B31</f>
        <v>2.916666666666667</v>
      </c>
    </row>
    <row r="10" spans="1:14" x14ac:dyDescent="0.3">
      <c r="A10" s="3">
        <v>5</v>
      </c>
      <c r="B10" s="4"/>
      <c r="C10" s="4"/>
      <c r="D10" s="3"/>
      <c r="E10" s="3"/>
      <c r="F10" s="3" t="str">
        <f t="shared" si="0"/>
        <v/>
      </c>
      <c r="G10" s="3" t="str">
        <f>IF(E10="","",_xludf.RANK.EQ(E10,$E$6:$E$35,0))</f>
        <v/>
      </c>
      <c r="H10" s="4"/>
      <c r="J10" s="11" t="e">
        <f>HEAD_OF_TECH!#REF!</f>
        <v>#REF!</v>
      </c>
      <c r="K10" s="11" t="e">
        <f>HEAD_OF_TECH!#REF!</f>
        <v>#REF!</v>
      </c>
      <c r="M10" s="11">
        <f>HEAD_OF_TECH!B30</f>
        <v>2.8333333333333335</v>
      </c>
      <c r="N10" s="11">
        <f>HEAD_OF_TECH!B31</f>
        <v>2.916666666666667</v>
      </c>
    </row>
    <row r="11" spans="1:14" x14ac:dyDescent="0.3">
      <c r="A11" s="3">
        <v>6</v>
      </c>
      <c r="B11" s="4"/>
      <c r="C11" s="4"/>
      <c r="D11" s="3"/>
      <c r="E11" s="3"/>
      <c r="F11" s="3" t="str">
        <f t="shared" si="0"/>
        <v/>
      </c>
      <c r="G11" s="3" t="str">
        <f>IF(E11="","",_xludf.RANK.EQ(E11,$E$6:$E$35,0))</f>
        <v/>
      </c>
      <c r="H11" s="4"/>
      <c r="J11" s="11" t="e">
        <f>HEAD_OF_TECH!#REF!</f>
        <v>#REF!</v>
      </c>
      <c r="K11" s="11" t="e">
        <f>HEAD_OF_TECH!#REF!</f>
        <v>#REF!</v>
      </c>
      <c r="M11" s="11">
        <f>HEAD_OF_TECH!B30</f>
        <v>2.8333333333333335</v>
      </c>
      <c r="N11" s="11">
        <f>HEAD_OF_TECH!B31</f>
        <v>2.916666666666667</v>
      </c>
    </row>
    <row r="12" spans="1:14" x14ac:dyDescent="0.3">
      <c r="A12" s="3">
        <v>7</v>
      </c>
      <c r="B12" s="4"/>
      <c r="C12" s="4"/>
      <c r="D12" s="3"/>
      <c r="E12" s="3"/>
      <c r="F12" s="3" t="str">
        <f t="shared" si="0"/>
        <v/>
      </c>
      <c r="G12" s="3" t="str">
        <f>IF(E12="","",_xludf.RANK.EQ(E12,$E$6:$E$35,0))</f>
        <v/>
      </c>
      <c r="H12" s="4"/>
      <c r="J12" s="11" t="e">
        <f>HEAD_OF_TECH!#REF!</f>
        <v>#REF!</v>
      </c>
      <c r="K12" s="11" t="e">
        <f>HEAD_OF_TECH!#REF!</f>
        <v>#REF!</v>
      </c>
      <c r="M12" s="11">
        <f>HEAD_OF_TECH!B30</f>
        <v>2.8333333333333335</v>
      </c>
      <c r="N12" s="11">
        <f>HEAD_OF_TECH!B31</f>
        <v>2.916666666666667</v>
      </c>
    </row>
    <row r="13" spans="1:14" x14ac:dyDescent="0.3">
      <c r="A13" s="3">
        <v>8</v>
      </c>
      <c r="B13" s="4"/>
      <c r="C13" s="4"/>
      <c r="D13" s="3"/>
      <c r="E13" s="3"/>
      <c r="F13" s="3" t="str">
        <f t="shared" si="0"/>
        <v/>
      </c>
      <c r="G13" s="3" t="str">
        <f>IF(E13="","",_xludf.RANK.EQ(E13,$E$6:$E$35,0))</f>
        <v/>
      </c>
      <c r="H13" s="4"/>
      <c r="J13" s="11" t="e">
        <f>HEAD_OF_TECH!#REF!</f>
        <v>#REF!</v>
      </c>
      <c r="K13" s="11" t="e">
        <f>HEAD_OF_TECH!#REF!</f>
        <v>#REF!</v>
      </c>
      <c r="M13" s="11">
        <f>HEAD_OF_TECH!B30</f>
        <v>2.8333333333333335</v>
      </c>
      <c r="N13" s="11">
        <f>HEAD_OF_TECH!B31</f>
        <v>2.916666666666667</v>
      </c>
    </row>
    <row r="14" spans="1:14" x14ac:dyDescent="0.3">
      <c r="A14" s="3">
        <v>9</v>
      </c>
      <c r="B14" s="4"/>
      <c r="C14" s="4"/>
      <c r="D14" s="3"/>
      <c r="E14" s="3"/>
      <c r="F14" s="3" t="str">
        <f t="shared" si="0"/>
        <v/>
      </c>
      <c r="G14" s="3" t="str">
        <f>IF(E14="","",_xludf.RANK.EQ(E14,$E$6:$E$35,0))</f>
        <v/>
      </c>
      <c r="H14" s="4"/>
      <c r="J14" s="11" t="e">
        <f>HEAD_OF_TECH!#REF!</f>
        <v>#REF!</v>
      </c>
      <c r="K14" s="11" t="e">
        <f>HEAD_OF_TECH!#REF!</f>
        <v>#REF!</v>
      </c>
      <c r="M14" s="11">
        <f>HEAD_OF_TECH!B30</f>
        <v>2.8333333333333335</v>
      </c>
      <c r="N14" s="11">
        <f>HEAD_OF_TECH!B31</f>
        <v>2.916666666666667</v>
      </c>
    </row>
    <row r="15" spans="1:14" x14ac:dyDescent="0.3">
      <c r="A15" s="3">
        <v>10</v>
      </c>
      <c r="B15" s="4"/>
      <c r="C15" s="4"/>
      <c r="D15" s="3"/>
      <c r="E15" s="3"/>
      <c r="F15" s="3" t="str">
        <f t="shared" si="0"/>
        <v/>
      </c>
      <c r="G15" s="3" t="str">
        <f>IF(E15="","",_xludf.RANK.EQ(E15,$E$6:$E$35,0))</f>
        <v/>
      </c>
      <c r="H15" s="4"/>
      <c r="J15" s="11" t="e">
        <f>HEAD_OF_TECH!#REF!</f>
        <v>#REF!</v>
      </c>
      <c r="K15" s="11" t="e">
        <f>HEAD_OF_TECH!#REF!</f>
        <v>#REF!</v>
      </c>
      <c r="M15" s="11">
        <f>HEAD_OF_TECH!B30</f>
        <v>2.8333333333333335</v>
      </c>
      <c r="N15" s="11">
        <f>HEAD_OF_TECH!B31</f>
        <v>2.916666666666667</v>
      </c>
    </row>
    <row r="16" spans="1:14" x14ac:dyDescent="0.3">
      <c r="A16" s="3">
        <v>11</v>
      </c>
      <c r="B16" s="4"/>
      <c r="C16" s="4"/>
      <c r="D16" s="3"/>
      <c r="E16" s="3"/>
      <c r="F16" s="3" t="str">
        <f t="shared" si="0"/>
        <v/>
      </c>
      <c r="G16" s="3" t="str">
        <f>IF(E16="","",_xludf.RANK.EQ(E16,$E$6:$E$35,0))</f>
        <v/>
      </c>
      <c r="H16" s="4"/>
      <c r="J16" s="11" t="e">
        <f>HEAD_OF_TECH!#REF!</f>
        <v>#REF!</v>
      </c>
      <c r="K16" s="11" t="e">
        <f>HEAD_OF_TECH!#REF!</f>
        <v>#REF!</v>
      </c>
      <c r="M16" s="11">
        <f>HEAD_OF_TECH!B30</f>
        <v>2.8333333333333335</v>
      </c>
      <c r="N16" s="11">
        <f>HEAD_OF_TECH!B31</f>
        <v>2.916666666666667</v>
      </c>
    </row>
    <row r="17" spans="1:14" x14ac:dyDescent="0.3">
      <c r="A17" s="3">
        <v>12</v>
      </c>
      <c r="B17" s="4"/>
      <c r="C17" s="4"/>
      <c r="D17" s="3"/>
      <c r="E17" s="3"/>
      <c r="F17" s="3" t="str">
        <f t="shared" si="0"/>
        <v/>
      </c>
      <c r="G17" s="3" t="str">
        <f>IF(E17="","",_xludf.RANK.EQ(E17,$E$6:$E$35,0))</f>
        <v/>
      </c>
      <c r="H17" s="4"/>
      <c r="J17" s="11" t="e">
        <f>HEAD_OF_TECH!#REF!</f>
        <v>#REF!</v>
      </c>
      <c r="K17" s="11" t="e">
        <f>HEAD_OF_TECH!#REF!</f>
        <v>#REF!</v>
      </c>
      <c r="M17" s="11">
        <f>HEAD_OF_TECH!B30</f>
        <v>2.8333333333333335</v>
      </c>
      <c r="N17" s="11">
        <f>HEAD_OF_TECH!B31</f>
        <v>2.916666666666667</v>
      </c>
    </row>
    <row r="18" spans="1:14" x14ac:dyDescent="0.3">
      <c r="A18" s="3">
        <v>13</v>
      </c>
      <c r="B18" s="4"/>
      <c r="C18" s="4"/>
      <c r="D18" s="3"/>
      <c r="E18" s="3"/>
      <c r="F18" s="3" t="str">
        <f t="shared" si="0"/>
        <v/>
      </c>
      <c r="G18" s="3" t="str">
        <f>IF(E18="","",_xludf.RANK.EQ(E18,$E$6:$E$35,0))</f>
        <v/>
      </c>
      <c r="H18" s="4"/>
      <c r="J18" s="11" t="e">
        <f>HEAD_OF_TECH!#REF!</f>
        <v>#REF!</v>
      </c>
      <c r="K18" s="11" t="e">
        <f>HEAD_OF_TECH!#REF!</f>
        <v>#REF!</v>
      </c>
      <c r="M18" s="11">
        <f>HEAD_OF_TECH!B30</f>
        <v>2.8333333333333335</v>
      </c>
      <c r="N18" s="11">
        <f>HEAD_OF_TECH!B31</f>
        <v>2.916666666666667</v>
      </c>
    </row>
    <row r="19" spans="1:14" x14ac:dyDescent="0.3">
      <c r="A19" s="3">
        <v>14</v>
      </c>
      <c r="B19" s="4"/>
      <c r="C19" s="4"/>
      <c r="D19" s="3"/>
      <c r="E19" s="3"/>
      <c r="F19" s="3" t="str">
        <f t="shared" si="0"/>
        <v/>
      </c>
      <c r="G19" s="3" t="str">
        <f>IF(E19="","",_xludf.RANK.EQ(E19,$E$6:$E$35,0))</f>
        <v/>
      </c>
      <c r="H19" s="4"/>
      <c r="J19" s="11" t="e">
        <f>HEAD_OF_TECH!#REF!</f>
        <v>#REF!</v>
      </c>
      <c r="K19" s="11" t="e">
        <f>HEAD_OF_TECH!#REF!</f>
        <v>#REF!</v>
      </c>
      <c r="M19" s="11">
        <f>HEAD_OF_TECH!B30</f>
        <v>2.8333333333333335</v>
      </c>
      <c r="N19" s="11">
        <f>HEAD_OF_TECH!B31</f>
        <v>2.916666666666667</v>
      </c>
    </row>
    <row r="20" spans="1:14" x14ac:dyDescent="0.3">
      <c r="A20" s="3">
        <v>15</v>
      </c>
      <c r="B20" s="4"/>
      <c r="C20" s="4"/>
      <c r="D20" s="3"/>
      <c r="E20" s="3"/>
      <c r="F20" s="3" t="str">
        <f t="shared" si="0"/>
        <v/>
      </c>
      <c r="G20" s="3" t="str">
        <f>IF(E20="","",_xludf.RANK.EQ(E20,$E$6:$E$35,0))</f>
        <v/>
      </c>
      <c r="H20" s="4"/>
      <c r="J20" s="11" t="e">
        <f>HEAD_OF_TECH!#REF!</f>
        <v>#REF!</v>
      </c>
      <c r="K20" s="11" t="e">
        <f>HEAD_OF_TECH!#REF!</f>
        <v>#REF!</v>
      </c>
      <c r="M20" s="11">
        <f>HEAD_OF_TECH!B30</f>
        <v>2.8333333333333335</v>
      </c>
      <c r="N20" s="11">
        <f>HEAD_OF_TECH!B31</f>
        <v>2.916666666666667</v>
      </c>
    </row>
    <row r="21" spans="1:14" x14ac:dyDescent="0.3">
      <c r="A21" s="3">
        <v>16</v>
      </c>
      <c r="B21" s="4"/>
      <c r="C21" s="4"/>
      <c r="D21" s="3"/>
      <c r="E21" s="3"/>
      <c r="F21" s="3" t="str">
        <f t="shared" si="0"/>
        <v/>
      </c>
      <c r="G21" s="3" t="str">
        <f>IF(E21="","",_xludf.RANK.EQ(E21,$E$6:$E$35,0))</f>
        <v/>
      </c>
      <c r="H21" s="4"/>
      <c r="J21" s="11" t="e">
        <f>HEAD_OF_TECH!#REF!</f>
        <v>#REF!</v>
      </c>
      <c r="K21" s="11" t="e">
        <f>HEAD_OF_TECH!#REF!</f>
        <v>#REF!</v>
      </c>
      <c r="M21" s="11">
        <f>HEAD_OF_TECH!B30</f>
        <v>2.8333333333333335</v>
      </c>
      <c r="N21" s="11">
        <f>HEAD_OF_TECH!B31</f>
        <v>2.916666666666667</v>
      </c>
    </row>
    <row r="22" spans="1:14" x14ac:dyDescent="0.3">
      <c r="A22" s="3">
        <v>17</v>
      </c>
      <c r="B22" s="4"/>
      <c r="C22" s="4"/>
      <c r="D22" s="3"/>
      <c r="E22" s="3"/>
      <c r="F22" s="3" t="str">
        <f t="shared" si="0"/>
        <v/>
      </c>
      <c r="G22" s="3" t="str">
        <f>IF(E22="","",_xludf.RANK.EQ(E22,$E$6:$E$35,0))</f>
        <v/>
      </c>
      <c r="H22" s="4"/>
      <c r="J22" s="11" t="e">
        <f>HEAD_OF_TECH!#REF!</f>
        <v>#REF!</v>
      </c>
      <c r="K22" s="11" t="e">
        <f>HEAD_OF_TECH!#REF!</f>
        <v>#REF!</v>
      </c>
      <c r="M22" s="11">
        <f>HEAD_OF_TECH!B30</f>
        <v>2.8333333333333335</v>
      </c>
      <c r="N22" s="11">
        <f>HEAD_OF_TECH!B31</f>
        <v>2.916666666666667</v>
      </c>
    </row>
    <row r="23" spans="1:14" x14ac:dyDescent="0.3">
      <c r="A23" s="3">
        <v>18</v>
      </c>
      <c r="B23" s="4"/>
      <c r="C23" s="4"/>
      <c r="D23" s="3"/>
      <c r="E23" s="3"/>
      <c r="F23" s="3" t="str">
        <f t="shared" si="0"/>
        <v/>
      </c>
      <c r="G23" s="3" t="str">
        <f>IF(E23="","",_xludf.RANK.EQ(E23,$E$6:$E$35,0))</f>
        <v/>
      </c>
      <c r="H23" s="4"/>
      <c r="J23" s="11" t="e">
        <f>HEAD_OF_TECH!#REF!</f>
        <v>#REF!</v>
      </c>
      <c r="K23" s="11" t="e">
        <f>HEAD_OF_TECH!#REF!</f>
        <v>#REF!</v>
      </c>
      <c r="M23" s="11">
        <f>HEAD_OF_TECH!B30</f>
        <v>2.8333333333333335</v>
      </c>
      <c r="N23" s="11">
        <f>HEAD_OF_TECH!B31</f>
        <v>2.916666666666667</v>
      </c>
    </row>
    <row r="24" spans="1:14" x14ac:dyDescent="0.3">
      <c r="A24" s="3">
        <v>19</v>
      </c>
      <c r="B24" s="4"/>
      <c r="C24" s="4"/>
      <c r="D24" s="3"/>
      <c r="E24" s="3"/>
      <c r="F24" s="3" t="str">
        <f t="shared" si="0"/>
        <v/>
      </c>
      <c r="G24" s="3" t="str">
        <f>IF(E24="","",_xludf.RANK.EQ(E24,$E$6:$E$35,0))</f>
        <v/>
      </c>
      <c r="H24" s="4"/>
      <c r="J24" s="11" t="e">
        <f>HEAD_OF_TECH!#REF!</f>
        <v>#REF!</v>
      </c>
      <c r="K24" s="11" t="e">
        <f>HEAD_OF_TECH!#REF!</f>
        <v>#REF!</v>
      </c>
      <c r="M24" s="11">
        <f>HEAD_OF_TECH!B30</f>
        <v>2.8333333333333335</v>
      </c>
      <c r="N24" s="11">
        <f>HEAD_OF_TECH!B31</f>
        <v>2.916666666666667</v>
      </c>
    </row>
    <row r="25" spans="1:14" x14ac:dyDescent="0.3">
      <c r="A25" s="3">
        <v>20</v>
      </c>
      <c r="B25" s="4"/>
      <c r="C25" s="4"/>
      <c r="D25" s="3"/>
      <c r="E25" s="3"/>
      <c r="F25" s="3" t="str">
        <f t="shared" si="0"/>
        <v/>
      </c>
      <c r="G25" s="3" t="str">
        <f>IF(E25="","",_xludf.RANK.EQ(E25,$E$6:$E$35,0))</f>
        <v/>
      </c>
      <c r="H25" s="4"/>
      <c r="J25" s="11" t="e">
        <f>HEAD_OF_TECH!#REF!</f>
        <v>#REF!</v>
      </c>
      <c r="K25" s="11" t="e">
        <f>HEAD_OF_TECH!#REF!</f>
        <v>#REF!</v>
      </c>
      <c r="M25" s="11">
        <f>HEAD_OF_TECH!B30</f>
        <v>2.8333333333333335</v>
      </c>
      <c r="N25" s="11">
        <f>HEAD_OF_TECH!B31</f>
        <v>2.916666666666667</v>
      </c>
    </row>
    <row r="26" spans="1:14" x14ac:dyDescent="0.3">
      <c r="A26" s="3">
        <v>21</v>
      </c>
      <c r="B26" s="4"/>
      <c r="C26" s="4"/>
      <c r="D26" s="3"/>
      <c r="E26" s="3"/>
      <c r="F26" s="3" t="str">
        <f t="shared" si="0"/>
        <v/>
      </c>
      <c r="G26" s="3" t="str">
        <f>IF(E26="","",_xludf.RANK.EQ(E26,$E$6:$E$35,0))</f>
        <v/>
      </c>
      <c r="H26" s="4"/>
      <c r="J26" s="11" t="e">
        <f>HEAD_OF_TECH!#REF!</f>
        <v>#REF!</v>
      </c>
      <c r="K26" s="11" t="e">
        <f>HEAD_OF_TECH!#REF!</f>
        <v>#REF!</v>
      </c>
      <c r="M26" s="11">
        <f>HEAD_OF_TECH!B30</f>
        <v>2.8333333333333335</v>
      </c>
      <c r="N26" s="11">
        <f>HEAD_OF_TECH!B31</f>
        <v>2.916666666666667</v>
      </c>
    </row>
    <row r="27" spans="1:14" x14ac:dyDescent="0.3">
      <c r="A27" s="3">
        <v>22</v>
      </c>
      <c r="B27" s="4"/>
      <c r="C27" s="4"/>
      <c r="D27" s="3"/>
      <c r="E27" s="3"/>
      <c r="F27" s="3" t="str">
        <f t="shared" si="0"/>
        <v/>
      </c>
      <c r="G27" s="3" t="str">
        <f>IF(E27="","",_xludf.RANK.EQ(E27,$E$6:$E$35,0))</f>
        <v/>
      </c>
      <c r="H27" s="4"/>
      <c r="J27" s="11" t="e">
        <f>HEAD_OF_TECH!#REF!</f>
        <v>#REF!</v>
      </c>
      <c r="K27" s="11" t="e">
        <f>HEAD_OF_TECH!#REF!</f>
        <v>#REF!</v>
      </c>
      <c r="M27" s="11">
        <f>HEAD_OF_TECH!B30</f>
        <v>2.8333333333333335</v>
      </c>
      <c r="N27" s="11">
        <f>HEAD_OF_TECH!B31</f>
        <v>2.916666666666667</v>
      </c>
    </row>
    <row r="28" spans="1:14" x14ac:dyDescent="0.3">
      <c r="A28" s="3">
        <v>23</v>
      </c>
      <c r="B28" s="4"/>
      <c r="C28" s="4"/>
      <c r="D28" s="3"/>
      <c r="E28" s="3"/>
      <c r="F28" s="3" t="str">
        <f t="shared" si="0"/>
        <v/>
      </c>
      <c r="G28" s="3" t="str">
        <f>IF(E28="","",_xludf.RANK.EQ(E28,$E$6:$E$35,0))</f>
        <v/>
      </c>
      <c r="H28" s="4"/>
      <c r="J28" s="11" t="e">
        <f>HEAD_OF_TECH!#REF!</f>
        <v>#REF!</v>
      </c>
      <c r="K28" s="11" t="e">
        <f>HEAD_OF_TECH!#REF!</f>
        <v>#REF!</v>
      </c>
      <c r="M28" s="11">
        <f>HEAD_OF_TECH!B30</f>
        <v>2.8333333333333335</v>
      </c>
      <c r="N28" s="11">
        <f>HEAD_OF_TECH!B31</f>
        <v>2.916666666666667</v>
      </c>
    </row>
    <row r="29" spans="1:14" x14ac:dyDescent="0.3">
      <c r="A29" s="3">
        <v>24</v>
      </c>
      <c r="B29" s="4"/>
      <c r="C29" s="4"/>
      <c r="D29" s="3"/>
      <c r="E29" s="3"/>
      <c r="F29" s="3" t="str">
        <f t="shared" si="0"/>
        <v/>
      </c>
      <c r="G29" s="3" t="str">
        <f>IF(E29="","",_xludf.RANK.EQ(E29,$E$6:$E$35,0))</f>
        <v/>
      </c>
      <c r="H29" s="4"/>
      <c r="J29" s="11" t="e">
        <f>HEAD_OF_TECH!#REF!</f>
        <v>#REF!</v>
      </c>
      <c r="K29" s="11" t="e">
        <f>HEAD_OF_TECH!#REF!</f>
        <v>#REF!</v>
      </c>
      <c r="M29" s="11">
        <f>HEAD_OF_TECH!B30</f>
        <v>2.8333333333333335</v>
      </c>
      <c r="N29" s="11">
        <f>HEAD_OF_TECH!B31</f>
        <v>2.916666666666667</v>
      </c>
    </row>
    <row r="30" spans="1:14" x14ac:dyDescent="0.3">
      <c r="A30" s="3">
        <v>25</v>
      </c>
      <c r="B30" s="4"/>
      <c r="C30" s="4"/>
      <c r="D30" s="3"/>
      <c r="E30" s="3"/>
      <c r="F30" s="3" t="str">
        <f t="shared" si="0"/>
        <v/>
      </c>
      <c r="G30" s="3" t="str">
        <f>IF(E30="","",_xludf.RANK.EQ(E30,$E$6:$E$35,0))</f>
        <v/>
      </c>
      <c r="H30" s="4"/>
      <c r="J30" s="11" t="e">
        <f>HEAD_OF_TECH!#REF!</f>
        <v>#REF!</v>
      </c>
      <c r="K30" s="11" t="e">
        <f>HEAD_OF_TECH!#REF!</f>
        <v>#REF!</v>
      </c>
      <c r="M30" s="11">
        <f>HEAD_OF_TECH!B30</f>
        <v>2.8333333333333335</v>
      </c>
      <c r="N30" s="11">
        <f>HEAD_OF_TECH!B31</f>
        <v>2.916666666666667</v>
      </c>
    </row>
    <row r="31" spans="1:14" x14ac:dyDescent="0.3">
      <c r="A31" s="3">
        <v>26</v>
      </c>
      <c r="B31" s="4"/>
      <c r="C31" s="4"/>
      <c r="D31" s="3"/>
      <c r="E31" s="3"/>
      <c r="F31" s="3" t="str">
        <f t="shared" si="0"/>
        <v/>
      </c>
      <c r="G31" s="3" t="str">
        <f>IF(E31="","",_xludf.RANK.EQ(E31,$E$6:$E$35,0))</f>
        <v/>
      </c>
      <c r="H31" s="4"/>
      <c r="J31" s="11" t="e">
        <f>HEAD_OF_TECH!#REF!</f>
        <v>#REF!</v>
      </c>
      <c r="K31" s="11" t="e">
        <f>HEAD_OF_TECH!#REF!</f>
        <v>#REF!</v>
      </c>
      <c r="M31" s="11">
        <f>HEAD_OF_TECH!B30</f>
        <v>2.8333333333333335</v>
      </c>
      <c r="N31" s="11">
        <f>HEAD_OF_TECH!B31</f>
        <v>2.916666666666667</v>
      </c>
    </row>
    <row r="32" spans="1:14" x14ac:dyDescent="0.3">
      <c r="A32" s="3">
        <v>27</v>
      </c>
      <c r="B32" s="4"/>
      <c r="C32" s="4"/>
      <c r="D32" s="3"/>
      <c r="E32" s="3"/>
      <c r="F32" s="3" t="str">
        <f t="shared" si="0"/>
        <v/>
      </c>
      <c r="G32" s="3" t="str">
        <f>IF(E32="","",_xludf.RANK.EQ(E32,$E$6:$E$35,0))</f>
        <v/>
      </c>
      <c r="H32" s="4"/>
      <c r="J32" s="11" t="e">
        <f>HEAD_OF_TECH!#REF!</f>
        <v>#REF!</v>
      </c>
      <c r="K32" s="11" t="e">
        <f>HEAD_OF_TECH!#REF!</f>
        <v>#REF!</v>
      </c>
      <c r="M32" s="11">
        <f>HEAD_OF_TECH!B30</f>
        <v>2.8333333333333335</v>
      </c>
      <c r="N32" s="11">
        <f>HEAD_OF_TECH!B31</f>
        <v>2.916666666666667</v>
      </c>
    </row>
    <row r="33" spans="1:14" x14ac:dyDescent="0.3">
      <c r="A33" s="3">
        <v>28</v>
      </c>
      <c r="B33" s="4"/>
      <c r="C33" s="4"/>
      <c r="D33" s="3"/>
      <c r="E33" s="3"/>
      <c r="F33" s="3" t="str">
        <f t="shared" si="0"/>
        <v/>
      </c>
      <c r="G33" s="3" t="str">
        <f>IF(E33="","",_xludf.RANK.EQ(E33,$E$6:$E$35,0))</f>
        <v/>
      </c>
      <c r="H33" s="4"/>
      <c r="J33" s="11" t="e">
        <f>HEAD_OF_TECH!#REF!</f>
        <v>#REF!</v>
      </c>
      <c r="K33" s="11" t="e">
        <f>HEAD_OF_TECH!#REF!</f>
        <v>#REF!</v>
      </c>
      <c r="M33" s="11">
        <f>HEAD_OF_TECH!B30</f>
        <v>2.8333333333333335</v>
      </c>
      <c r="N33" s="11">
        <f>HEAD_OF_TECH!B31</f>
        <v>2.916666666666667</v>
      </c>
    </row>
    <row r="34" spans="1:14" x14ac:dyDescent="0.3">
      <c r="A34" s="3">
        <v>29</v>
      </c>
      <c r="B34" s="4"/>
      <c r="C34" s="4"/>
      <c r="D34" s="3"/>
      <c r="E34" s="3"/>
      <c r="F34" s="3" t="str">
        <f t="shared" si="0"/>
        <v/>
      </c>
      <c r="G34" s="3" t="str">
        <f>IF(E34="","",_xludf.RANK.EQ(E34,$E$6:$E$35,0))</f>
        <v/>
      </c>
      <c r="H34" s="4"/>
      <c r="J34" s="11" t="e">
        <f>HEAD_OF_TECH!#REF!</f>
        <v>#REF!</v>
      </c>
      <c r="K34" s="11" t="e">
        <f>HEAD_OF_TECH!#REF!</f>
        <v>#REF!</v>
      </c>
      <c r="M34" s="11">
        <f>HEAD_OF_TECH!B30</f>
        <v>2.8333333333333335</v>
      </c>
      <c r="N34" s="11">
        <f>HEAD_OF_TECH!B31</f>
        <v>2.916666666666667</v>
      </c>
    </row>
    <row r="35" spans="1:14" x14ac:dyDescent="0.3">
      <c r="A35" s="3">
        <v>30</v>
      </c>
      <c r="B35" s="4"/>
      <c r="C35" s="4"/>
      <c r="D35" s="3"/>
      <c r="E35" s="3"/>
      <c r="F35" s="3" t="str">
        <f t="shared" si="0"/>
        <v/>
      </c>
      <c r="G35" s="3" t="str">
        <f>IF(E35="","",_xludf.RANK.EQ(E35,$E$6:$E$35,0))</f>
        <v/>
      </c>
      <c r="H35" s="4"/>
      <c r="J35" s="11" t="e">
        <f>HEAD_OF_TECH!#REF!</f>
        <v>#REF!</v>
      </c>
      <c r="K35" s="11" t="e">
        <f>HEAD_OF_TECH!#REF!</f>
        <v>#REF!</v>
      </c>
      <c r="M35" s="11">
        <f>HEAD_OF_TECH!B30</f>
        <v>2.8333333333333335</v>
      </c>
      <c r="N35" s="11">
        <f>HEAD_OF_TECH!B31</f>
        <v>2.916666666666667</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Cấu trúc &amp; Trọng số</vt:lpstr>
      <vt:lpstr>HEAD_OF_TECH</vt:lpstr>
      <vt:lpstr>MÔ TẢ - PHỤ LỤC</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dcterms:created xsi:type="dcterms:W3CDTF">2026-01-27T07:04:19Z</dcterms:created>
  <dcterms:modified xsi:type="dcterms:W3CDTF">2026-02-03T13:31:51Z</dcterms:modified>
</cp:coreProperties>
</file>